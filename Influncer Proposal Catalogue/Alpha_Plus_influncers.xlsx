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ido/Downloads/"/>
    </mc:Choice>
  </mc:AlternateContent>
  <xr:revisionPtr revIDLastSave="0" documentId="13_ncr:1_{26260FA7-F2AE-4E40-8199-A1CDF25A913F}" xr6:coauthVersionLast="47" xr6:coauthVersionMax="47" xr10:uidLastSave="{00000000-0000-0000-0000-000000000000}"/>
  <bookViews>
    <workbookView xWindow="0" yWindow="680" windowWidth="34200" windowHeight="21460" tabRatio="500" activeTab="4" xr2:uid="{00000000-000D-0000-FFFF-FFFF00000000}"/>
  </bookViews>
  <sheets>
    <sheet name="المؤثرون" sheetId="1" r:id="rId1"/>
    <sheet name="Nano" sheetId="2" r:id="rId2"/>
    <sheet name="Micro" sheetId="3" r:id="rId3"/>
    <sheet name="Mid-Tier" sheetId="4" r:id="rId4"/>
    <sheet name="Macro" sheetId="5" r:id="rId5"/>
  </sheets>
  <definedNames>
    <definedName name="_xlnm._FilterDatabase" localSheetId="4" hidden="1">Macro!$A$19:$H$22</definedName>
    <definedName name="_xlnm._FilterDatabase" localSheetId="2" hidden="1">Micro!$A$19:$H$80</definedName>
    <definedName name="_xlnm._FilterDatabase" localSheetId="3" hidden="1">'Mid-Tier'!$A$19:$H$89</definedName>
    <definedName name="_xlnm._FilterDatabase" localSheetId="1" hidden="1">Nano!$A$19:$H$46</definedName>
    <definedName name="_xlnm._FilterDatabase" localSheetId="0" hidden="1">المؤثرون!$A$3:$H$165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C15" i="5"/>
  <c r="C14" i="5"/>
  <c r="C13" i="5"/>
  <c r="C12" i="5"/>
  <c r="C11" i="5"/>
  <c r="C10" i="5"/>
  <c r="C9" i="5"/>
  <c r="C8" i="5"/>
  <c r="C7" i="5"/>
  <c r="C16" i="4"/>
  <c r="C15" i="4"/>
  <c r="C14" i="4"/>
  <c r="C13" i="4"/>
  <c r="C12" i="4"/>
  <c r="C11" i="4"/>
  <c r="C10" i="4"/>
  <c r="C9" i="4"/>
  <c r="C8" i="4"/>
  <c r="C7" i="4"/>
  <c r="C16" i="3"/>
  <c r="C15" i="3"/>
  <c r="C14" i="3"/>
  <c r="C13" i="3"/>
  <c r="C12" i="3"/>
  <c r="C11" i="3"/>
  <c r="C10" i="3"/>
  <c r="C9" i="3"/>
  <c r="C8" i="3"/>
  <c r="C7" i="3"/>
  <c r="C16" i="2"/>
  <c r="C15" i="2"/>
  <c r="C14" i="2"/>
  <c r="C13" i="2"/>
  <c r="C12" i="2"/>
  <c r="C11" i="2"/>
  <c r="C10" i="2"/>
  <c r="C9" i="2"/>
  <c r="C8" i="2"/>
  <c r="C7" i="2"/>
</calcChain>
</file>

<file path=xl/sharedStrings.xml><?xml version="1.0" encoding="utf-8"?>
<sst xmlns="http://schemas.openxmlformats.org/spreadsheetml/2006/main" count="1724" uniqueCount="365">
  <si>
    <t>ALPHA PLUS UGC  |  القائمة الكاملة</t>
  </si>
  <si>
    <t>#</t>
  </si>
  <si>
    <t>الاسم</t>
  </si>
  <si>
    <t>المدينة</t>
  </si>
  <si>
    <t>الحساب</t>
  </si>
  <si>
    <t>المنصة</t>
  </si>
  <si>
    <t>المتابعون</t>
  </si>
  <si>
    <t>الفئة</t>
  </si>
  <si>
    <t>ملاحظات</t>
  </si>
  <si>
    <t>Noha Magdy</t>
  </si>
  <si>
    <t>جدة</t>
  </si>
  <si>
    <t>@noha.mgdi</t>
  </si>
  <si>
    <t>Instagram</t>
  </si>
  <si>
    <t>Macro</t>
  </si>
  <si>
    <t>Omnya Elmasry</t>
  </si>
  <si>
    <t>غير محددة</t>
  </si>
  <si>
    <t>@omnyaelmasry.0</t>
  </si>
  <si>
    <t>TikTok</t>
  </si>
  <si>
    <t>Ghalya MU</t>
  </si>
  <si>
    <t>@ghalya.mu</t>
  </si>
  <si>
    <t>Abeera Alyaseen</t>
  </si>
  <si>
    <t>@abeeralyaseenq8</t>
  </si>
  <si>
    <t>Mid-Tier</t>
  </si>
  <si>
    <t>Rona</t>
  </si>
  <si>
    <t>الرياض</t>
  </si>
  <si>
    <t>@rona.makeup4</t>
  </si>
  <si>
    <t>Shroq</t>
  </si>
  <si>
    <t>@awwskky</t>
  </si>
  <si>
    <t>Ghufran</t>
  </si>
  <si>
    <t>@ghufranhatim</t>
  </si>
  <si>
    <t>Noura Glam</t>
  </si>
  <si>
    <t>@nouraglam</t>
  </si>
  <si>
    <t>VS KNO</t>
  </si>
  <si>
    <t>@vs.kno</t>
  </si>
  <si>
    <t>Rasha</t>
  </si>
  <si>
    <t>@43.tu</t>
  </si>
  <si>
    <t>Subhieh Alzaibak</t>
  </si>
  <si>
    <t>@subhieh.alzaibak_official</t>
  </si>
  <si>
    <t>EL Goharaa</t>
  </si>
  <si>
    <t>@jnjooh</t>
  </si>
  <si>
    <t>Loza</t>
  </si>
  <si>
    <t>@lozaradwan</t>
  </si>
  <si>
    <t>Bashira Alhalabi</t>
  </si>
  <si>
    <t>@bashira_alhalabi_7</t>
  </si>
  <si>
    <t>Suha Allaf</t>
  </si>
  <si>
    <t>@suhaallaf</t>
  </si>
  <si>
    <t>Heba Mohannad</t>
  </si>
  <si>
    <t>@he_1244</t>
  </si>
  <si>
    <t>Layan (July)</t>
  </si>
  <si>
    <t>@layleojuly</t>
  </si>
  <si>
    <t>Nouha Manii</t>
  </si>
  <si>
    <t>@nouha_manii</t>
  </si>
  <si>
    <t>Rand Badawi</t>
  </si>
  <si>
    <t>@randbadawi.official</t>
  </si>
  <si>
    <t>Maram Alnahla</t>
  </si>
  <si>
    <t>@maram_alnahla</t>
  </si>
  <si>
    <t>Jolie Fahad</t>
  </si>
  <si>
    <t>@jolie.fahad</t>
  </si>
  <si>
    <t>Dareen Eskandar</t>
  </si>
  <si>
    <t>@dareeneskandar</t>
  </si>
  <si>
    <t>Queen Smoor</t>
  </si>
  <si>
    <t>@queen.smoor</t>
  </si>
  <si>
    <t>Reema Elharbi</t>
  </si>
  <si>
    <t>@reema_elharbi</t>
  </si>
  <si>
    <t>Soso</t>
  </si>
  <si>
    <t>@soso_benz_beauty_world</t>
  </si>
  <si>
    <t>mer.a1i</t>
  </si>
  <si>
    <t>@mer.a1i</t>
  </si>
  <si>
    <t>Mirella Mrad</t>
  </si>
  <si>
    <t>@mirellamrad</t>
  </si>
  <si>
    <t>Najlaa Saloon</t>
  </si>
  <si>
    <t>@najlaa_saloon1</t>
  </si>
  <si>
    <t>Amal</t>
  </si>
  <si>
    <t>@amal.l10</t>
  </si>
  <si>
    <t>Tala</t>
  </si>
  <si>
    <t>@tala.mlk</t>
  </si>
  <si>
    <t>Loura Sakoul</t>
  </si>
  <si>
    <t>@loura_sakoul</t>
  </si>
  <si>
    <t>VS Rose</t>
  </si>
  <si>
    <t>@vs.r0se</t>
  </si>
  <si>
    <t>Reem yahia</t>
  </si>
  <si>
    <t>@reemyahia.mua</t>
  </si>
  <si>
    <t>Shahad D44</t>
  </si>
  <si>
    <t>@shahad.d44</t>
  </si>
  <si>
    <t>ftoon.ma</t>
  </si>
  <si>
    <t>@ftoon.ma</t>
  </si>
  <si>
    <t>Walaa Albundagji</t>
  </si>
  <si>
    <t>@walaa.albundagji</t>
  </si>
  <si>
    <t>Itaf El-Naggar</t>
  </si>
  <si>
    <t>@food_and_beyond_travel</t>
  </si>
  <si>
    <t>Hadeel Ahmed</t>
  </si>
  <si>
    <t>@heidi_ahmed2</t>
  </si>
  <si>
    <t>Hanisanaani</t>
  </si>
  <si>
    <t>@hanisanaani</t>
  </si>
  <si>
    <t>Lilian</t>
  </si>
  <si>
    <t>@lilian.official1</t>
  </si>
  <si>
    <t>By Joudy</t>
  </si>
  <si>
    <t>@by.joudy</t>
  </si>
  <si>
    <t>Bella Faris</t>
  </si>
  <si>
    <t>@bellafaris66</t>
  </si>
  <si>
    <t>Rihamelkomy</t>
  </si>
  <si>
    <t>@rihamelkomy_</t>
  </si>
  <si>
    <t>Shosho Ibasha</t>
  </si>
  <si>
    <t>@shosho_ibasha</t>
  </si>
  <si>
    <t>Jaawaher Jamal</t>
  </si>
  <si>
    <t>@jaawaher.jamal</t>
  </si>
  <si>
    <t>Ngouud</t>
  </si>
  <si>
    <t>@ngoouud</t>
  </si>
  <si>
    <t>Anouda Almanama</t>
  </si>
  <si>
    <t>@anoudalmanama</t>
  </si>
  <si>
    <t>Zahra</t>
  </si>
  <si>
    <t>@zoz7z77</t>
  </si>
  <si>
    <t>dalia ahmed</t>
  </si>
  <si>
    <t>@daliaahmad.official</t>
  </si>
  <si>
    <t>Mashael</t>
  </si>
  <si>
    <t>@mashael_cdc</t>
  </si>
  <si>
    <t>Bella</t>
  </si>
  <si>
    <t>@the_bella7</t>
  </si>
  <si>
    <t>Fatma Hadell</t>
  </si>
  <si>
    <t>@fatmahadell</t>
  </si>
  <si>
    <t>Weam</t>
  </si>
  <si>
    <t>@weam784</t>
  </si>
  <si>
    <t>Saras Basrawi</t>
  </si>
  <si>
    <t>@sara_basrawi</t>
  </si>
  <si>
    <t>Sofia</t>
  </si>
  <si>
    <t>@its_me_sofia94</t>
  </si>
  <si>
    <t>Fadwa MUA</t>
  </si>
  <si>
    <t>@fadwa.mua</t>
  </si>
  <si>
    <t>Alaa Alhariri</t>
  </si>
  <si>
    <t>@alaahariry26</t>
  </si>
  <si>
    <t>Artist Abeeryassen</t>
  </si>
  <si>
    <t>@artist_abeeryassen</t>
  </si>
  <si>
    <t>Afnan</t>
  </si>
  <si>
    <t>@afnann768</t>
  </si>
  <si>
    <t>Shaimaa Alassaad</t>
  </si>
  <si>
    <t>@shaimaaalassaad</t>
  </si>
  <si>
    <t>Riri</t>
  </si>
  <si>
    <t>@riri.i9</t>
  </si>
  <si>
    <t>Makeup Artist MZ</t>
  </si>
  <si>
    <t>@makeupartist.mz</t>
  </si>
  <si>
    <t>Ree</t>
  </si>
  <si>
    <t>@modell_ree</t>
  </si>
  <si>
    <t>Its Model Jojo</t>
  </si>
  <si>
    <t>@itsmodeljojo</t>
  </si>
  <si>
    <t>Huda Violet</t>
  </si>
  <si>
    <t>@hudavaiolet</t>
  </si>
  <si>
    <t>RR10OU</t>
  </si>
  <si>
    <t>@rr10ou</t>
  </si>
  <si>
    <t>Mnhllsby</t>
  </si>
  <si>
    <t>@mnhllsby</t>
  </si>
  <si>
    <t>Dr. Hanouf</t>
  </si>
  <si>
    <t>@dr.hanouf97</t>
  </si>
  <si>
    <t>Ameera Alwaleed</t>
  </si>
  <si>
    <t>@meera3aa</t>
  </si>
  <si>
    <t>Haitham</t>
  </si>
  <si>
    <t>@haitham_1990</t>
  </si>
  <si>
    <t>Daad Alduhami</t>
  </si>
  <si>
    <t>@its.daad</t>
  </si>
  <si>
    <t>Maha Hajibraheem</t>
  </si>
  <si>
    <t>@mahahajibraheem</t>
  </si>
  <si>
    <t>Shahadwhale</t>
  </si>
  <si>
    <t>@shahadwhale</t>
  </si>
  <si>
    <t>Maya Alkhaled</t>
  </si>
  <si>
    <t>@mayaalkhaled</t>
  </si>
  <si>
    <t>Micro</t>
  </si>
  <si>
    <t>Tahane Life</t>
  </si>
  <si>
    <t>@tahane_life</t>
  </si>
  <si>
    <t>Raghd</t>
  </si>
  <si>
    <t>@raghdaa.m1</t>
  </si>
  <si>
    <t>Ahad</t>
  </si>
  <si>
    <t>@ahad_2121</t>
  </si>
  <si>
    <t>Hessah Alsudais</t>
  </si>
  <si>
    <t>@hessah_alsudais</t>
  </si>
  <si>
    <t>radwa.ameen</t>
  </si>
  <si>
    <t>@radwa.ameen.elsharbatly</t>
  </si>
  <si>
    <t>Smaher Alzainy</t>
  </si>
  <si>
    <t>@smaheralzainy</t>
  </si>
  <si>
    <t>Loki Reviews</t>
  </si>
  <si>
    <t>@loki.reviews</t>
  </si>
  <si>
    <t>Maysa Alharbi</t>
  </si>
  <si>
    <t>@imayousah</t>
  </si>
  <si>
    <t>Alanoud Alfallaj</t>
  </si>
  <si>
    <t>@alanoudalfallaj</t>
  </si>
  <si>
    <t>IV Pic</t>
  </si>
  <si>
    <t>@iv.pic</t>
  </si>
  <si>
    <t>Asmaa Almehri</t>
  </si>
  <si>
    <t>@asmaa__almehri</t>
  </si>
  <si>
    <t>Mayar Eldeeb</t>
  </si>
  <si>
    <t>@mayar__eldeeb</t>
  </si>
  <si>
    <t>_0et</t>
  </si>
  <si>
    <t>@_0et</t>
  </si>
  <si>
    <t>Lilly Franssis</t>
  </si>
  <si>
    <t>@lillyfranssis_makeup</t>
  </si>
  <si>
    <t>Sarita</t>
  </si>
  <si>
    <t>@model.sarita7</t>
  </si>
  <si>
    <t>N88F8</t>
  </si>
  <si>
    <t>@n88f.8</t>
  </si>
  <si>
    <t>Naya</t>
  </si>
  <si>
    <t>@model.nayaa</t>
  </si>
  <si>
    <t>Saudi Girl Reviews</t>
  </si>
  <si>
    <t>@saudigirlreviews</t>
  </si>
  <si>
    <t>maha Bassem</t>
  </si>
  <si>
    <t>@mahabassem</t>
  </si>
  <si>
    <t>Razan EL sadig</t>
  </si>
  <si>
    <t>@razan_alsadig1</t>
  </si>
  <si>
    <t>Shahoda Touch</t>
  </si>
  <si>
    <t>@shahoda_touch</t>
  </si>
  <si>
    <t>Rima Moe</t>
  </si>
  <si>
    <t>@rimar.moe</t>
  </si>
  <si>
    <t>Dalia Saharti</t>
  </si>
  <si>
    <t>@daliaasaharti111</t>
  </si>
  <si>
    <t>rawan haroun</t>
  </si>
  <si>
    <t>@rawan10010</t>
  </si>
  <si>
    <t>Ghaidaa</t>
  </si>
  <si>
    <t>@ghaidaa_ali</t>
  </si>
  <si>
    <t>Noof shaqra</t>
  </si>
  <si>
    <t>@noufsami001</t>
  </si>
  <si>
    <t>Rahaf Ghaleb Kharqi</t>
  </si>
  <si>
    <t>@model.rahaf</t>
  </si>
  <si>
    <t>Roqa Najjar</t>
  </si>
  <si>
    <t>@roqanajjar</t>
  </si>
  <si>
    <t>Dona</t>
  </si>
  <si>
    <t>@dona.335</t>
  </si>
  <si>
    <t>Rahf</t>
  </si>
  <si>
    <t>@rahafruw</t>
  </si>
  <si>
    <t>Model nour</t>
  </si>
  <si>
    <t>@model_nour369</t>
  </si>
  <si>
    <t>Khaled Elibrahim</t>
  </si>
  <si>
    <t>@khaled.elibrahim</t>
  </si>
  <si>
    <t>shyma Hakeem</t>
  </si>
  <si>
    <t>@shayma.hakeem_</t>
  </si>
  <si>
    <t>Osama Alfares</t>
  </si>
  <si>
    <t>@osama.alfares95</t>
  </si>
  <si>
    <t>Aishaa</t>
  </si>
  <si>
    <t>@ai__sha090</t>
  </si>
  <si>
    <t>Haneen Beauty</t>
  </si>
  <si>
    <t>@haneen_3388</t>
  </si>
  <si>
    <t>Onab KamalEldin</t>
  </si>
  <si>
    <t>@33nabah</t>
  </si>
  <si>
    <t>rama adel</t>
  </si>
  <si>
    <t>@ramaamodel</t>
  </si>
  <si>
    <t>Raheed Almansi</t>
  </si>
  <si>
    <t>@raheed__</t>
  </si>
  <si>
    <t>Shoruq Alsalmi</t>
  </si>
  <si>
    <t>@shoruqalsalmi</t>
  </si>
  <si>
    <t>Reem</t>
  </si>
  <si>
    <t>@modelreem92</t>
  </si>
  <si>
    <t>Yara Cherif</t>
  </si>
  <si>
    <t>@yaracheriif</t>
  </si>
  <si>
    <t>Fatma el faris</t>
  </si>
  <si>
    <t>@fatima_alfaris</t>
  </si>
  <si>
    <t>Nour</t>
  </si>
  <si>
    <t>@model.nour1</t>
  </si>
  <si>
    <t>NOURAN</t>
  </si>
  <si>
    <t>@noranabdulhafiz</t>
  </si>
  <si>
    <t>Hms Mhamad</t>
  </si>
  <si>
    <t>@hms_mhamad</t>
  </si>
  <si>
    <t>Noura style</t>
  </si>
  <si>
    <t>@nora.styl9</t>
  </si>
  <si>
    <t>Eman abo elmaged</t>
  </si>
  <si>
    <t>@emmy_magd</t>
  </si>
  <si>
    <t>Awsaf Alfares</t>
  </si>
  <si>
    <t>@awsafalfares</t>
  </si>
  <si>
    <t>Rafa</t>
  </si>
  <si>
    <t>@rrvii8</t>
  </si>
  <si>
    <t>Liliana Gergos</t>
  </si>
  <si>
    <t>@lologmoj70m</t>
  </si>
  <si>
    <t>Rahaf Abu Nada</t>
  </si>
  <si>
    <t>@rahafabunada75</t>
  </si>
  <si>
    <t>Lucy</t>
  </si>
  <si>
    <t>@lucy.mohammed</t>
  </si>
  <si>
    <t>Afnan Alrugaib</t>
  </si>
  <si>
    <t>@afnan_alrugaib</t>
  </si>
  <si>
    <t>Maram</t>
  </si>
  <si>
    <t>@mro.777</t>
  </si>
  <si>
    <t>Mohra</t>
  </si>
  <si>
    <t>@model.mouhra369</t>
  </si>
  <si>
    <t>alaa_cherbaji</t>
  </si>
  <si>
    <t>@alaacherbaji</t>
  </si>
  <si>
    <t>Hind Bander</t>
  </si>
  <si>
    <t>@hind.eraa</t>
  </si>
  <si>
    <t>Razan Fayad</t>
  </si>
  <si>
    <t>@razanfayad</t>
  </si>
  <si>
    <t>N Model</t>
  </si>
  <si>
    <t>@n.model1</t>
  </si>
  <si>
    <t>lilian hassanieh</t>
  </si>
  <si>
    <t>@lillian.hassanieh_</t>
  </si>
  <si>
    <t>Nano</t>
  </si>
  <si>
    <t>Hadeel Almoammar</t>
  </si>
  <si>
    <t>@hadeelalmoammar0</t>
  </si>
  <si>
    <t>Ahoud Al mohen</t>
  </si>
  <si>
    <t>@oudi369</t>
  </si>
  <si>
    <t>Alia</t>
  </si>
  <si>
    <t>@aliakhhh</t>
  </si>
  <si>
    <t>Jenna</t>
  </si>
  <si>
    <t>@hernamejenna</t>
  </si>
  <si>
    <t>Anmar</t>
  </si>
  <si>
    <t>@anmar</t>
  </si>
  <si>
    <t>Fatima Alqahtani</t>
  </si>
  <si>
    <t>@fatima_skincare0</t>
  </si>
  <si>
    <t>Nancy Alfattah</t>
  </si>
  <si>
    <t>@nancyjihad</t>
  </si>
  <si>
    <t>Em</t>
  </si>
  <si>
    <t>@iuimio</t>
  </si>
  <si>
    <t>Ibtissam Laghrib</t>
  </si>
  <si>
    <t>@model_ibtissam</t>
  </si>
  <si>
    <t>Hhuda</t>
  </si>
  <si>
    <t>@hililxia_</t>
  </si>
  <si>
    <t>Dalia Darweesh</t>
  </si>
  <si>
    <t>@diariesofasaudigirl</t>
  </si>
  <si>
    <t>Amani</t>
  </si>
  <si>
    <t>@amna.dey</t>
  </si>
  <si>
    <t>Zeina</t>
  </si>
  <si>
    <t>@zeina.alakhras</t>
  </si>
  <si>
    <t>Najla</t>
  </si>
  <si>
    <t>@njla347</t>
  </si>
  <si>
    <t>Gosoon</t>
  </si>
  <si>
    <t>@gghsoun</t>
  </si>
  <si>
    <t>Maro</t>
  </si>
  <si>
    <t>@its_maro_oo</t>
  </si>
  <si>
    <t>Dahab</t>
  </si>
  <si>
    <t>@yli11l</t>
  </si>
  <si>
    <t>ii_alaa</t>
  </si>
  <si>
    <t>@ii_alaa</t>
  </si>
  <si>
    <t>Sara askar</t>
  </si>
  <si>
    <t>@sara92askar</t>
  </si>
  <si>
    <t>Model Huda</t>
  </si>
  <si>
    <t>@huda.ahk</t>
  </si>
  <si>
    <t>Anhar</t>
  </si>
  <si>
    <t>@anharmii</t>
  </si>
  <si>
    <t>Razan Waleed</t>
  </si>
  <si>
    <t>@razanwaleed3425</t>
  </si>
  <si>
    <t>Nourhan</t>
  </si>
  <si>
    <t>@_iamangeln</t>
  </si>
  <si>
    <t>Aram</t>
  </si>
  <si>
    <t>@model_aram_</t>
  </si>
  <si>
    <t>LEEN</t>
  </si>
  <si>
    <t>@leenxehhb</t>
  </si>
  <si>
    <t>Nohyla model</t>
  </si>
  <si>
    <t>@model.nouhaila</t>
  </si>
  <si>
    <t>Dina dounia</t>
  </si>
  <si>
    <t>@model_dinadounia_</t>
  </si>
  <si>
    <t>ALPHA PLUS UGC  |  Nano Tier</t>
  </si>
  <si>
    <t>Nano Tier   |   نطاق الفئة: أقل من 10,000 متابع   |   عدد المؤثرين: 28</t>
  </si>
  <si>
    <t>الملخص  |  Summary</t>
  </si>
  <si>
    <t>نطاق السعر  |  Price Range</t>
  </si>
  <si>
    <t>إجمالي المؤثرين</t>
  </si>
  <si>
    <t>السعر من  |  Price From</t>
  </si>
  <si>
    <t>حسابات Instagram</t>
  </si>
  <si>
    <t>حسابات TikTok</t>
  </si>
  <si>
    <t>حسابات الرياض</t>
  </si>
  <si>
    <t>السعر إلى  |  Price To</t>
  </si>
  <si>
    <t>حسابات جدة</t>
  </si>
  <si>
    <t>مدينة غير محددة</t>
  </si>
  <si>
    <t>إجمالي المتابعين</t>
  </si>
  <si>
    <t>متوسط المتابعين</t>
  </si>
  <si>
    <t>الأسعار النهائية للعميل  |  Final client prices (SAR)</t>
  </si>
  <si>
    <t>أقل عدد متابعين</t>
  </si>
  <si>
    <t>أعلى عدد متابعين</t>
  </si>
  <si>
    <t>ALPHA PLUS UGC  |  Micro Tier</t>
  </si>
  <si>
    <t>Micro Tier   |   نطاق الفئة: 10,000 - 49,999 متابع   |   عدد المؤثرين: 61</t>
  </si>
  <si>
    <t>ALPHA PLUS UGC  |  Mid Tier   |   VIP</t>
  </si>
  <si>
    <t>Mid Tier   |   VIP   |   نطاق الفئة: 50,000 - 499,999 متابع   |   عدد المؤثرين: 70</t>
  </si>
  <si>
    <t>ALPHA PLUS UGC  |  Macro Tier   |   VIP</t>
  </si>
  <si>
    <t>Macro Tier   |   VIP   |   نطاق الفئة: 500,000 - 999,999 متابع   |   عدد المؤثرين: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</si>
</sst>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ريال&quot;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b/>
      <sz val="18"/>
      <color rgb="FF2D7A4D"/>
      <name val="Arial"/>
      <family val="2"/>
    </font>
    <font>
      <b/>
      <sz val="13"/>
      <color rgb="FFFFFFFF"/>
      <name val="Arial"/>
      <family val="2"/>
    </font>
    <font>
      <b/>
      <sz val="12"/>
      <name val="Arial"/>
      <family val="2"/>
    </font>
    <font>
      <b/>
      <sz val="13"/>
      <color rgb="FF2D7A4D"/>
      <name val="Arial"/>
      <family val="2"/>
    </font>
    <font>
      <b/>
      <sz val="14"/>
      <name val="Arial"/>
      <family val="2"/>
    </font>
    <font>
      <b/>
      <sz val="20"/>
      <color rgb="FF0000FF"/>
      <name val="Arial"/>
      <family val="2"/>
    </font>
    <font>
      <i/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D7A4D"/>
        <bgColor rgb="FF008080"/>
      </patternFill>
    </fill>
    <fill>
      <patternFill patternType="solid">
        <fgColor rgb="FFE8F5E9"/>
        <bgColor rgb="FFF2F2F2"/>
      </patternFill>
    </fill>
    <fill>
      <patternFill patternType="solid">
        <fgColor rgb="FFF5FBF6"/>
        <bgColor rgb="FFFFFFFF"/>
      </patternFill>
    </fill>
    <fill>
      <patternFill patternType="solid">
        <fgColor rgb="FFF2F2F2"/>
        <bgColor rgb="FFE8F5E9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D8C4"/>
      </left>
      <right style="thin">
        <color rgb="FFBFD8C4"/>
      </right>
      <top style="thin">
        <color rgb="FFBFD8C4"/>
      </top>
      <bottom style="thin">
        <color rgb="FFBFD8C4"/>
      </bottom>
      <diagonal/>
    </border>
    <border>
      <left style="medium">
        <color rgb="FF2D7A4D"/>
      </left>
      <right style="medium">
        <color rgb="FF2D7A4D"/>
      </right>
      <top style="medium">
        <color rgb="FF2D7A4D"/>
      </top>
      <bottom style="medium">
        <color rgb="FF2D7A4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164" fontId="10" fillId="6" borderId="2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D8C4"/>
      <rgbColor rgb="FF808080"/>
      <rgbColor rgb="FF9999FF"/>
      <rgbColor rgb="FF993366"/>
      <rgbColor rgb="FFFFF2CC"/>
      <rgbColor rgb="FFE8F5E9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BF6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D7A4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fatima_alfaris?igsh=MTJyMjU2N2M2N284cA==" TargetMode="External"/><Relationship Id="rId21" Type="http://schemas.openxmlformats.org/officeDocument/2006/relationships/hyperlink" Target="https://www.instagram.com/jolie.fahad/" TargetMode="External"/><Relationship Id="rId42" Type="http://schemas.openxmlformats.org/officeDocument/2006/relationships/hyperlink" Target="https://www.instagram.com/bellafaris66/" TargetMode="External"/><Relationship Id="rId63" Type="http://schemas.openxmlformats.org/officeDocument/2006/relationships/hyperlink" Target="https://www.instagram.com/modell_ree?igsh=MTJsbTU0NG85MXh2NA==" TargetMode="External"/><Relationship Id="rId84" Type="http://schemas.openxmlformats.org/officeDocument/2006/relationships/hyperlink" Target="https://www.instagram.com/iv.pic/" TargetMode="External"/><Relationship Id="rId138" Type="http://schemas.openxmlformats.org/officeDocument/2006/relationships/hyperlink" Target="https://www.tiktok.com/@aliakhhh?_r=" TargetMode="External"/><Relationship Id="rId159" Type="http://schemas.openxmlformats.org/officeDocument/2006/relationships/hyperlink" Target="https://www.instagram.com/model_aram_/" TargetMode="External"/><Relationship Id="rId107" Type="http://schemas.openxmlformats.org/officeDocument/2006/relationships/hyperlink" Target="https://www.instagram.com/shayma.hakeem_?igsh=M2FnYjU2aDhydWI1" TargetMode="External"/><Relationship Id="rId11" Type="http://schemas.openxmlformats.org/officeDocument/2006/relationships/hyperlink" Target="https://www.instagram.com/subhieh.alzaibak_official/" TargetMode="External"/><Relationship Id="rId32" Type="http://schemas.openxmlformats.org/officeDocument/2006/relationships/hyperlink" Target="https://www.instagram.com/vs.r0se/" TargetMode="External"/><Relationship Id="rId53" Type="http://schemas.openxmlformats.org/officeDocument/2006/relationships/hyperlink" Target="https://www.instagram.com/weam784/" TargetMode="External"/><Relationship Id="rId74" Type="http://schemas.openxmlformats.org/officeDocument/2006/relationships/hyperlink" Target="https://www.instagram.com/mayaalkhaled/" TargetMode="External"/><Relationship Id="rId128" Type="http://schemas.openxmlformats.org/officeDocument/2006/relationships/hyperlink" Target="https://www.tiktok.com/@afnan_alrugaib" TargetMode="External"/><Relationship Id="rId149" Type="http://schemas.openxmlformats.org/officeDocument/2006/relationships/hyperlink" Target="https://www.instagram.com/njla347?igsh=" TargetMode="External"/><Relationship Id="rId5" Type="http://schemas.openxmlformats.org/officeDocument/2006/relationships/hyperlink" Target="https://www.instagram.com/rona.makeup4?igsh=b2dsczN6NWx4enA5" TargetMode="External"/><Relationship Id="rId95" Type="http://schemas.openxmlformats.org/officeDocument/2006/relationships/hyperlink" Target="https://www.instagram.com/shahoda_touch/" TargetMode="External"/><Relationship Id="rId160" Type="http://schemas.openxmlformats.org/officeDocument/2006/relationships/hyperlink" Target="https://www.instagram.com/leenxehhb/" TargetMode="External"/><Relationship Id="rId22" Type="http://schemas.openxmlformats.org/officeDocument/2006/relationships/hyperlink" Target="https://www.instagram.com/dareeneskandar/" TargetMode="External"/><Relationship Id="rId43" Type="http://schemas.openxmlformats.org/officeDocument/2006/relationships/hyperlink" Target="https://www.instagram.com/rihamelkomy_?igsh=ZHVzbTJ1YW4xbjlo" TargetMode="External"/><Relationship Id="rId64" Type="http://schemas.openxmlformats.org/officeDocument/2006/relationships/hyperlink" Target="https://www.instagram.com/itsmodeljojo/" TargetMode="External"/><Relationship Id="rId118" Type="http://schemas.openxmlformats.org/officeDocument/2006/relationships/hyperlink" Target="https://www.instagram.com/model.nour1/" TargetMode="External"/><Relationship Id="rId139" Type="http://schemas.openxmlformats.org/officeDocument/2006/relationships/hyperlink" Target="https://www.instagram.com/hernamejenna/" TargetMode="External"/><Relationship Id="rId85" Type="http://schemas.openxmlformats.org/officeDocument/2006/relationships/hyperlink" Target="https://www.instagram.com/asmaa__almehri/" TargetMode="External"/><Relationship Id="rId150" Type="http://schemas.openxmlformats.org/officeDocument/2006/relationships/hyperlink" Target="https://www.instagram.com/gghsoun?igsh=MTdtb243d2gyaTh2aA==" TargetMode="External"/><Relationship Id="rId12" Type="http://schemas.openxmlformats.org/officeDocument/2006/relationships/hyperlink" Target="https://www.instagram.com/jnjooh?igsh=MXF6eTF2ZzR4anFzeg==" TargetMode="External"/><Relationship Id="rId17" Type="http://schemas.openxmlformats.org/officeDocument/2006/relationships/hyperlink" Target="https://www.tiktok.com/@layleojuly" TargetMode="External"/><Relationship Id="rId33" Type="http://schemas.openxmlformats.org/officeDocument/2006/relationships/hyperlink" Target="https://www.instagram.com/reemyahia.mua?igsh=" TargetMode="External"/><Relationship Id="rId38" Type="http://schemas.openxmlformats.org/officeDocument/2006/relationships/hyperlink" Target="https://www.instagram.com/heidi_ahmed2/" TargetMode="External"/><Relationship Id="rId59" Type="http://schemas.openxmlformats.org/officeDocument/2006/relationships/hyperlink" Target="https://www.instagram.com/afnann768?igsh=aHBpZG9pbnhjMmt4" TargetMode="External"/><Relationship Id="rId103" Type="http://schemas.openxmlformats.org/officeDocument/2006/relationships/hyperlink" Target="https://www.instagram.com/dona.335/" TargetMode="External"/><Relationship Id="rId108" Type="http://schemas.openxmlformats.org/officeDocument/2006/relationships/hyperlink" Target="https://www.instagram.com/osama.alfares95/" TargetMode="External"/><Relationship Id="rId124" Type="http://schemas.openxmlformats.org/officeDocument/2006/relationships/hyperlink" Target="https://www.tiktok.com/@rrvii8" TargetMode="External"/><Relationship Id="rId129" Type="http://schemas.openxmlformats.org/officeDocument/2006/relationships/hyperlink" Target="https://www.tiktok.com/@mro.777" TargetMode="External"/><Relationship Id="rId54" Type="http://schemas.openxmlformats.org/officeDocument/2006/relationships/hyperlink" Target="https://www.instagram.com/sara_basrawi/reels/" TargetMode="External"/><Relationship Id="rId70" Type="http://schemas.openxmlformats.org/officeDocument/2006/relationships/hyperlink" Target="https://www.instagram.com/haitham_1990/" TargetMode="External"/><Relationship Id="rId75" Type="http://schemas.openxmlformats.org/officeDocument/2006/relationships/hyperlink" Target="https://www.instagram.com/tahane_life/" TargetMode="External"/><Relationship Id="rId91" Type="http://schemas.openxmlformats.org/officeDocument/2006/relationships/hyperlink" Target="https://www.instagram.com/model.nayaa?igsh=" TargetMode="External"/><Relationship Id="rId96" Type="http://schemas.openxmlformats.org/officeDocument/2006/relationships/hyperlink" Target="https://www.instagram.com/rimar.moe/" TargetMode="External"/><Relationship Id="rId140" Type="http://schemas.openxmlformats.org/officeDocument/2006/relationships/hyperlink" Target="https://www.instagram.com/p/DWYj5nkCsgi/?img_index=1" TargetMode="External"/><Relationship Id="rId145" Type="http://schemas.openxmlformats.org/officeDocument/2006/relationships/hyperlink" Target="https://www.tiktok.com/@hililxia_?_r=1&amp;_t=ZS-97Hglw5WVaH" TargetMode="External"/><Relationship Id="rId161" Type="http://schemas.openxmlformats.org/officeDocument/2006/relationships/hyperlink" Target="https://www.instagram.com/model.nouhaila?igsh=MWxnaXhyM2J2cG12NQ==" TargetMode="External"/><Relationship Id="rId1" Type="http://schemas.openxmlformats.org/officeDocument/2006/relationships/hyperlink" Target="https://www.instagram.com/noha.mgdi/" TargetMode="External"/><Relationship Id="rId6" Type="http://schemas.openxmlformats.org/officeDocument/2006/relationships/hyperlink" Target="https://www.tiktok.com/@awwskky" TargetMode="External"/><Relationship Id="rId23" Type="http://schemas.openxmlformats.org/officeDocument/2006/relationships/hyperlink" Target="https://www.instagram.com/queen.smoor/" TargetMode="External"/><Relationship Id="rId28" Type="http://schemas.openxmlformats.org/officeDocument/2006/relationships/hyperlink" Target="https://www.instagram.com/najlaa_saloon1/" TargetMode="External"/><Relationship Id="rId49" Type="http://schemas.openxmlformats.org/officeDocument/2006/relationships/hyperlink" Target="https://www.instagram.com/daliaahmad.official/" TargetMode="External"/><Relationship Id="rId114" Type="http://schemas.openxmlformats.org/officeDocument/2006/relationships/hyperlink" Target="https://www.tiktok.com/@shoruqalsalmi" TargetMode="External"/><Relationship Id="rId119" Type="http://schemas.openxmlformats.org/officeDocument/2006/relationships/hyperlink" Target="https://www.instagram.com/noranabdulhafiz?igsh=MWRnaXRwMGNkbjh2Mg==" TargetMode="External"/><Relationship Id="rId44" Type="http://schemas.openxmlformats.org/officeDocument/2006/relationships/hyperlink" Target="https://www.instagram.com/shosho_ibasha/" TargetMode="External"/><Relationship Id="rId60" Type="http://schemas.openxmlformats.org/officeDocument/2006/relationships/hyperlink" Target="https://www.instagram.com/shaimaaalassaad/" TargetMode="External"/><Relationship Id="rId65" Type="http://schemas.openxmlformats.org/officeDocument/2006/relationships/hyperlink" Target="https://www.instagram.com/hudavaiolet/" TargetMode="External"/><Relationship Id="rId81" Type="http://schemas.openxmlformats.org/officeDocument/2006/relationships/hyperlink" Target="https://www.tiktok.com/@loki.reviews" TargetMode="External"/><Relationship Id="rId86" Type="http://schemas.openxmlformats.org/officeDocument/2006/relationships/hyperlink" Target="https://www.instagram.com/mayar__eldeeb/" TargetMode="External"/><Relationship Id="rId130" Type="http://schemas.openxmlformats.org/officeDocument/2006/relationships/hyperlink" Target="https://www.instagram.com/model.mouhra369/" TargetMode="External"/><Relationship Id="rId135" Type="http://schemas.openxmlformats.org/officeDocument/2006/relationships/hyperlink" Target="https://www.instagram.com/lillian.hassanieh_/" TargetMode="External"/><Relationship Id="rId151" Type="http://schemas.openxmlformats.org/officeDocument/2006/relationships/hyperlink" Target="https://www.instagram.com/its_maro_oo/" TargetMode="External"/><Relationship Id="rId156" Type="http://schemas.openxmlformats.org/officeDocument/2006/relationships/hyperlink" Target="https://www.instagram.com/anharmii/reels/" TargetMode="External"/><Relationship Id="rId13" Type="http://schemas.openxmlformats.org/officeDocument/2006/relationships/hyperlink" Target="https://www.tiktok.com/@lozaradwan?_t=" TargetMode="External"/><Relationship Id="rId18" Type="http://schemas.openxmlformats.org/officeDocument/2006/relationships/hyperlink" Target="https://www.instagram.com/nouha_manii/" TargetMode="External"/><Relationship Id="rId39" Type="http://schemas.openxmlformats.org/officeDocument/2006/relationships/hyperlink" Target="https://www.instagram.com/hanisanaani/" TargetMode="External"/><Relationship Id="rId109" Type="http://schemas.openxmlformats.org/officeDocument/2006/relationships/hyperlink" Target="https://www.instagram.com/ai__sha090?igsh=MWdvenJkdHVodzBuYQ==" TargetMode="External"/><Relationship Id="rId34" Type="http://schemas.openxmlformats.org/officeDocument/2006/relationships/hyperlink" Target="https://www.instagram.com/shahad.d44/" TargetMode="External"/><Relationship Id="rId50" Type="http://schemas.openxmlformats.org/officeDocument/2006/relationships/hyperlink" Target="https://www.tiktok.com/@mashael_cdc" TargetMode="External"/><Relationship Id="rId55" Type="http://schemas.openxmlformats.org/officeDocument/2006/relationships/hyperlink" Target="https://www.instagram.com/its_me_sofia94/" TargetMode="External"/><Relationship Id="rId76" Type="http://schemas.openxmlformats.org/officeDocument/2006/relationships/hyperlink" Target="https://www.instagram.com/raghdaa.m1?igsh=MWVqbHVzMG5mZmdpbA==" TargetMode="External"/><Relationship Id="rId97" Type="http://schemas.openxmlformats.org/officeDocument/2006/relationships/hyperlink" Target="https://www.instagram.com/daliaasaharti111/" TargetMode="External"/><Relationship Id="rId104" Type="http://schemas.openxmlformats.org/officeDocument/2006/relationships/hyperlink" Target="https://www.instagram.com/rahafruw?igsh=cGxtcDBmOHE5OXJi" TargetMode="External"/><Relationship Id="rId120" Type="http://schemas.openxmlformats.org/officeDocument/2006/relationships/hyperlink" Target="https://www.instagram.com/hms_mhamad/" TargetMode="External"/><Relationship Id="rId125" Type="http://schemas.openxmlformats.org/officeDocument/2006/relationships/hyperlink" Target="https://www.tiktok.com/@lologmoj70m?fbclid=" TargetMode="External"/><Relationship Id="rId141" Type="http://schemas.openxmlformats.org/officeDocument/2006/relationships/hyperlink" Target="https://www.tiktok.com/@fatima_skincare0" TargetMode="External"/><Relationship Id="rId146" Type="http://schemas.openxmlformats.org/officeDocument/2006/relationships/hyperlink" Target="https://www.instagram.com/diariesofasaudigirl/" TargetMode="External"/><Relationship Id="rId7" Type="http://schemas.openxmlformats.org/officeDocument/2006/relationships/hyperlink" Target="https://www.tiktok.com/@ghufranhatim?fbclid=" TargetMode="External"/><Relationship Id="rId71" Type="http://schemas.openxmlformats.org/officeDocument/2006/relationships/hyperlink" Target="https://www.instagram.com/its.daad/" TargetMode="External"/><Relationship Id="rId92" Type="http://schemas.openxmlformats.org/officeDocument/2006/relationships/hyperlink" Target="https://www.tiktok.com/@saudigirlreviews" TargetMode="External"/><Relationship Id="rId162" Type="http://schemas.openxmlformats.org/officeDocument/2006/relationships/hyperlink" Target="https://www.instagram.com/model_dinadounia_/" TargetMode="External"/><Relationship Id="rId2" Type="http://schemas.openxmlformats.org/officeDocument/2006/relationships/hyperlink" Target="https://www.tiktok.com/@omnyaelmasry.0" TargetMode="External"/><Relationship Id="rId29" Type="http://schemas.openxmlformats.org/officeDocument/2006/relationships/hyperlink" Target="https://www.instagram.com/amal.l10/" TargetMode="External"/><Relationship Id="rId24" Type="http://schemas.openxmlformats.org/officeDocument/2006/relationships/hyperlink" Target="https://www.instagram.com/reema_elharbi/" TargetMode="External"/><Relationship Id="rId40" Type="http://schemas.openxmlformats.org/officeDocument/2006/relationships/hyperlink" Target="https://www.instagram.com/lilian.official1/" TargetMode="External"/><Relationship Id="rId45" Type="http://schemas.openxmlformats.org/officeDocument/2006/relationships/hyperlink" Target="https://www.instagram.com/jaawaher.jamal/" TargetMode="External"/><Relationship Id="rId66" Type="http://schemas.openxmlformats.org/officeDocument/2006/relationships/hyperlink" Target="https://www.instagram.com/rr10ou/" TargetMode="External"/><Relationship Id="rId87" Type="http://schemas.openxmlformats.org/officeDocument/2006/relationships/hyperlink" Target="https://www.instagram.com/_0et/" TargetMode="External"/><Relationship Id="rId110" Type="http://schemas.openxmlformats.org/officeDocument/2006/relationships/hyperlink" Target="https://www.tiktok.com/@haneen_3388" TargetMode="External"/><Relationship Id="rId115" Type="http://schemas.openxmlformats.org/officeDocument/2006/relationships/hyperlink" Target="https://www.instagram.com/modelreem92?igsh=dDIzMHY2Y3F5dTZ5" TargetMode="External"/><Relationship Id="rId131" Type="http://schemas.openxmlformats.org/officeDocument/2006/relationships/hyperlink" Target="https://www.tiktok.com/@alaacherbaji?_r=" TargetMode="External"/><Relationship Id="rId136" Type="http://schemas.openxmlformats.org/officeDocument/2006/relationships/hyperlink" Target="https://www.tiktok.com/@hadeelalmoammar0" TargetMode="External"/><Relationship Id="rId157" Type="http://schemas.openxmlformats.org/officeDocument/2006/relationships/hyperlink" Target="https://www.instagram.com/razanwaleed3425?igsh=bTZ6a3I0YjB0dGZ1" TargetMode="External"/><Relationship Id="rId61" Type="http://schemas.openxmlformats.org/officeDocument/2006/relationships/hyperlink" Target="https://www.instagram.com/riri.i9/" TargetMode="External"/><Relationship Id="rId82" Type="http://schemas.openxmlformats.org/officeDocument/2006/relationships/hyperlink" Target="https://www.tiktok.com/@imayousah" TargetMode="External"/><Relationship Id="rId152" Type="http://schemas.openxmlformats.org/officeDocument/2006/relationships/hyperlink" Target="https://www.tiktok.com/@yli11l?_r=1&amp;_t=ZS-97HhSD0cvpc" TargetMode="External"/><Relationship Id="rId19" Type="http://schemas.openxmlformats.org/officeDocument/2006/relationships/hyperlink" Target="https://www.instagram.com/randbadawi.official/" TargetMode="External"/><Relationship Id="rId14" Type="http://schemas.openxmlformats.org/officeDocument/2006/relationships/hyperlink" Target="https://www.instagram.com/bashira_alhalabi_7/" TargetMode="External"/><Relationship Id="rId30" Type="http://schemas.openxmlformats.org/officeDocument/2006/relationships/hyperlink" Target="https://www.tiktok.com/@tala.mlk" TargetMode="External"/><Relationship Id="rId35" Type="http://schemas.openxmlformats.org/officeDocument/2006/relationships/hyperlink" Target="https://www.instagram.com/ftoon.ma/reels/" TargetMode="External"/><Relationship Id="rId56" Type="http://schemas.openxmlformats.org/officeDocument/2006/relationships/hyperlink" Target="https://www.instagram.com/fadwa.mua/" TargetMode="External"/><Relationship Id="rId77" Type="http://schemas.openxmlformats.org/officeDocument/2006/relationships/hyperlink" Target="https://www.tiktok.com/@ahad_2121" TargetMode="External"/><Relationship Id="rId100" Type="http://schemas.openxmlformats.org/officeDocument/2006/relationships/hyperlink" Target="https://www.instagram.com/noufsami001?igsh=MTkzcWtlOW5pbTd6ZQ==" TargetMode="External"/><Relationship Id="rId105" Type="http://schemas.openxmlformats.org/officeDocument/2006/relationships/hyperlink" Target="https://www.instagram.com/model_nour369/" TargetMode="External"/><Relationship Id="rId126" Type="http://schemas.openxmlformats.org/officeDocument/2006/relationships/hyperlink" Target="https://www.instagram.com/rahafabunada75/" TargetMode="External"/><Relationship Id="rId147" Type="http://schemas.openxmlformats.org/officeDocument/2006/relationships/hyperlink" Target="https://www.instagram.com/amna.dey?igsh=MW52emp4MG42NndpaQ==" TargetMode="External"/><Relationship Id="rId8" Type="http://schemas.openxmlformats.org/officeDocument/2006/relationships/hyperlink" Target="https://www.instagram.com/nouraglam/" TargetMode="External"/><Relationship Id="rId51" Type="http://schemas.openxmlformats.org/officeDocument/2006/relationships/hyperlink" Target="https://www.instagram.com/the_bella7/" TargetMode="External"/><Relationship Id="rId72" Type="http://schemas.openxmlformats.org/officeDocument/2006/relationships/hyperlink" Target="https://www.instagram.com/mahahajibraheem/" TargetMode="External"/><Relationship Id="rId93" Type="http://schemas.openxmlformats.org/officeDocument/2006/relationships/hyperlink" Target="https://www.instagram.com/mahabassem?igsh=a3Q0ZG1qM24yaHRr" TargetMode="External"/><Relationship Id="rId98" Type="http://schemas.openxmlformats.org/officeDocument/2006/relationships/hyperlink" Target="https://www.instagram.com/rawan10010/" TargetMode="External"/><Relationship Id="rId121" Type="http://schemas.openxmlformats.org/officeDocument/2006/relationships/hyperlink" Target="https://www.instagram.com/nora.styl9?igsh=MXQ0anRxeHg1c2t1ZA==" TargetMode="External"/><Relationship Id="rId142" Type="http://schemas.openxmlformats.org/officeDocument/2006/relationships/hyperlink" Target="https://www.instagram.com/nancyjihad/" TargetMode="External"/><Relationship Id="rId3" Type="http://schemas.openxmlformats.org/officeDocument/2006/relationships/hyperlink" Target="https://www.instagram.com/ghalya.mu/" TargetMode="External"/><Relationship Id="rId25" Type="http://schemas.openxmlformats.org/officeDocument/2006/relationships/hyperlink" Target="https://www.instagram.com/soso_benz_beauty_world/" TargetMode="External"/><Relationship Id="rId46" Type="http://schemas.openxmlformats.org/officeDocument/2006/relationships/hyperlink" Target="https://www.tiktok.com/@ngoouud" TargetMode="External"/><Relationship Id="rId67" Type="http://schemas.openxmlformats.org/officeDocument/2006/relationships/hyperlink" Target="https://www.instagram.com/mnhllsby/" TargetMode="External"/><Relationship Id="rId116" Type="http://schemas.openxmlformats.org/officeDocument/2006/relationships/hyperlink" Target="https://www.tiktok.com/@yaracheriif" TargetMode="External"/><Relationship Id="rId137" Type="http://schemas.openxmlformats.org/officeDocument/2006/relationships/hyperlink" Target="https://www.instagram.com/oudi369?igsh=MXVvdHZqYzdnNnY1MA==" TargetMode="External"/><Relationship Id="rId158" Type="http://schemas.openxmlformats.org/officeDocument/2006/relationships/hyperlink" Target="https://www.instagram.com/_iamangeln?igsh=MTk2bzAza3FmbnU2cg==" TargetMode="External"/><Relationship Id="rId20" Type="http://schemas.openxmlformats.org/officeDocument/2006/relationships/hyperlink" Target="https://www.instagram.com/maram_alnahla/" TargetMode="External"/><Relationship Id="rId41" Type="http://schemas.openxmlformats.org/officeDocument/2006/relationships/hyperlink" Target="https://www.instagram.com/by.joudy/" TargetMode="External"/><Relationship Id="rId62" Type="http://schemas.openxmlformats.org/officeDocument/2006/relationships/hyperlink" Target="https://www.instagram.com/makeupartist.mz/" TargetMode="External"/><Relationship Id="rId83" Type="http://schemas.openxmlformats.org/officeDocument/2006/relationships/hyperlink" Target="https://www.instagram.com/alanoudalfallaj?igsh=Z2F5dHY1bGNwdDJh" TargetMode="External"/><Relationship Id="rId88" Type="http://schemas.openxmlformats.org/officeDocument/2006/relationships/hyperlink" Target="https://www.instagram.com/lillyfranssis_makeup?igsh=MXE5eGJwN2E0bDBxYw==" TargetMode="External"/><Relationship Id="rId111" Type="http://schemas.openxmlformats.org/officeDocument/2006/relationships/hyperlink" Target="https://www.instagram.com/33nabah/" TargetMode="External"/><Relationship Id="rId132" Type="http://schemas.openxmlformats.org/officeDocument/2006/relationships/hyperlink" Target="https://www.instagram.com/hind.eraa?igsh=bm9jaHdiNHg2cDJq" TargetMode="External"/><Relationship Id="rId153" Type="http://schemas.openxmlformats.org/officeDocument/2006/relationships/hyperlink" Target="https://www.instagram.com/ii_alaa/" TargetMode="External"/><Relationship Id="rId15" Type="http://schemas.openxmlformats.org/officeDocument/2006/relationships/hyperlink" Target="https://www.instagram.com/suhaallaf?igsh=MXQ1bGhrZHRpeDNhNA==" TargetMode="External"/><Relationship Id="rId36" Type="http://schemas.openxmlformats.org/officeDocument/2006/relationships/hyperlink" Target="https://www.instagram.com/walaa.albundagji/" TargetMode="External"/><Relationship Id="rId57" Type="http://schemas.openxmlformats.org/officeDocument/2006/relationships/hyperlink" Target="https://www.tiktok.com/@alaahariry26" TargetMode="External"/><Relationship Id="rId106" Type="http://schemas.openxmlformats.org/officeDocument/2006/relationships/hyperlink" Target="https://www.instagram.com/khaled.elibrahim/" TargetMode="External"/><Relationship Id="rId127" Type="http://schemas.openxmlformats.org/officeDocument/2006/relationships/hyperlink" Target="https://www.tiktok.com/@lucy.mohammed" TargetMode="External"/><Relationship Id="rId10" Type="http://schemas.openxmlformats.org/officeDocument/2006/relationships/hyperlink" Target="https://www.tiktok.com/@43.tu?_r=1&amp;_t=ZS-97HggIYREcX" TargetMode="External"/><Relationship Id="rId31" Type="http://schemas.openxmlformats.org/officeDocument/2006/relationships/hyperlink" Target="https://www.instagram.com/loura_sakoul/" TargetMode="External"/><Relationship Id="rId52" Type="http://schemas.openxmlformats.org/officeDocument/2006/relationships/hyperlink" Target="https://www.instagram.com/fatmahadell/" TargetMode="External"/><Relationship Id="rId73" Type="http://schemas.openxmlformats.org/officeDocument/2006/relationships/hyperlink" Target="https://www.instagram.com/shahadwhale/" TargetMode="External"/><Relationship Id="rId78" Type="http://schemas.openxmlformats.org/officeDocument/2006/relationships/hyperlink" Target="https://www.instagram.com/hessah_alsudais/" TargetMode="External"/><Relationship Id="rId94" Type="http://schemas.openxmlformats.org/officeDocument/2006/relationships/hyperlink" Target="https://www.instagram.com/razan_alsadig1?igsh=MWhlcm5oODd0YjV6Mw==" TargetMode="External"/><Relationship Id="rId99" Type="http://schemas.openxmlformats.org/officeDocument/2006/relationships/hyperlink" Target="https://www.instagram.com/ghaidaa_ali/" TargetMode="External"/><Relationship Id="rId101" Type="http://schemas.openxmlformats.org/officeDocument/2006/relationships/hyperlink" Target="https://www.instagram.com/model.rahaf?igsh=" TargetMode="External"/><Relationship Id="rId122" Type="http://schemas.openxmlformats.org/officeDocument/2006/relationships/hyperlink" Target="https://www.instagram.com/emmy_magd?igsh=MTN2aWRuZXN4djZzeA==" TargetMode="External"/><Relationship Id="rId143" Type="http://schemas.openxmlformats.org/officeDocument/2006/relationships/hyperlink" Target="https://www.tiktok.com/@iuimio?_r=1&amp;_t=ZS-97Ge2TBiAmT" TargetMode="External"/><Relationship Id="rId148" Type="http://schemas.openxmlformats.org/officeDocument/2006/relationships/hyperlink" Target="https://www.instagram.com/zeina.alakhras?igsh=MTF4cnJmd2EzbzI3cQ%3D%3D" TargetMode="External"/><Relationship Id="rId4" Type="http://schemas.openxmlformats.org/officeDocument/2006/relationships/hyperlink" Target="https://www.instagram.com/abeeralyaseenq8/" TargetMode="External"/><Relationship Id="rId9" Type="http://schemas.openxmlformats.org/officeDocument/2006/relationships/hyperlink" Target="https://www.instagram.com/vs.kno/" TargetMode="External"/><Relationship Id="rId26" Type="http://schemas.openxmlformats.org/officeDocument/2006/relationships/hyperlink" Target="https://www.instagram.com/mer.a1i/" TargetMode="External"/><Relationship Id="rId47" Type="http://schemas.openxmlformats.org/officeDocument/2006/relationships/hyperlink" Target="https://www.instagram.com/anoudalmanama/" TargetMode="External"/><Relationship Id="rId68" Type="http://schemas.openxmlformats.org/officeDocument/2006/relationships/hyperlink" Target="https://www.instagram.com/dr.hanouf97/" TargetMode="External"/><Relationship Id="rId89" Type="http://schemas.openxmlformats.org/officeDocument/2006/relationships/hyperlink" Target="https://www.instagram.com/model.sarita7/" TargetMode="External"/><Relationship Id="rId112" Type="http://schemas.openxmlformats.org/officeDocument/2006/relationships/hyperlink" Target="https://www.instagram.com/ramaamodel/" TargetMode="External"/><Relationship Id="rId133" Type="http://schemas.openxmlformats.org/officeDocument/2006/relationships/hyperlink" Target="https://www.tiktok.com/@razanfayad" TargetMode="External"/><Relationship Id="rId154" Type="http://schemas.openxmlformats.org/officeDocument/2006/relationships/hyperlink" Target="https://www.instagram.com/sara92askar?igsh=MWEweWpmN2t4dWhsMg==" TargetMode="External"/><Relationship Id="rId16" Type="http://schemas.openxmlformats.org/officeDocument/2006/relationships/hyperlink" Target="https://www.instagram.com/he_1244/reels/" TargetMode="External"/><Relationship Id="rId37" Type="http://schemas.openxmlformats.org/officeDocument/2006/relationships/hyperlink" Target="https://www.instagram.com/food_and_beyond_travel?igsh=MWYxN3pqM2huMjM2cg%3D%3D" TargetMode="External"/><Relationship Id="rId58" Type="http://schemas.openxmlformats.org/officeDocument/2006/relationships/hyperlink" Target="https://www.instagram.com/artist_abeeryassen/" TargetMode="External"/><Relationship Id="rId79" Type="http://schemas.openxmlformats.org/officeDocument/2006/relationships/hyperlink" Target="https://www.instagram.com/radwa.ameen.elsharbatly?igsh=dWw0bnRmaWVveW5n" TargetMode="External"/><Relationship Id="rId102" Type="http://schemas.openxmlformats.org/officeDocument/2006/relationships/hyperlink" Target="https://www.instagram.com/roqanajjar/" TargetMode="External"/><Relationship Id="rId123" Type="http://schemas.openxmlformats.org/officeDocument/2006/relationships/hyperlink" Target="https://www.tiktok.com/@awsafalfares" TargetMode="External"/><Relationship Id="rId144" Type="http://schemas.openxmlformats.org/officeDocument/2006/relationships/hyperlink" Target="https://www.instagram.com/model_ibtissam/" TargetMode="External"/><Relationship Id="rId90" Type="http://schemas.openxmlformats.org/officeDocument/2006/relationships/hyperlink" Target="https://www.instagram.com/n88f.8/" TargetMode="External"/><Relationship Id="rId27" Type="http://schemas.openxmlformats.org/officeDocument/2006/relationships/hyperlink" Target="https://www.instagram.com/mirellamrad/" TargetMode="External"/><Relationship Id="rId48" Type="http://schemas.openxmlformats.org/officeDocument/2006/relationships/hyperlink" Target="https://www.tiktok.com/@zoz7z77" TargetMode="External"/><Relationship Id="rId69" Type="http://schemas.openxmlformats.org/officeDocument/2006/relationships/hyperlink" Target="https://www.tiktok.com/@meera3aa" TargetMode="External"/><Relationship Id="rId113" Type="http://schemas.openxmlformats.org/officeDocument/2006/relationships/hyperlink" Target="https://www.tiktok.com/@raheed__" TargetMode="External"/><Relationship Id="rId134" Type="http://schemas.openxmlformats.org/officeDocument/2006/relationships/hyperlink" Target="https://www.instagram.com/n.model1/" TargetMode="External"/><Relationship Id="rId80" Type="http://schemas.openxmlformats.org/officeDocument/2006/relationships/hyperlink" Target="https://www.instagram.com/smaheralzainy/" TargetMode="External"/><Relationship Id="rId155" Type="http://schemas.openxmlformats.org/officeDocument/2006/relationships/hyperlink" Target="https://www.instagram.com/huda.ahk?igsh=MXc1Mzl5cW93dHpsdw=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nancyjihad/" TargetMode="External"/><Relationship Id="rId13" Type="http://schemas.openxmlformats.org/officeDocument/2006/relationships/hyperlink" Target="https://www.instagram.com/amna.dey?igsh=MW52emp4MG42NndpaQ==" TargetMode="External"/><Relationship Id="rId18" Type="http://schemas.openxmlformats.org/officeDocument/2006/relationships/hyperlink" Target="https://www.instagram.com/ii_alaa/" TargetMode="External"/><Relationship Id="rId26" Type="http://schemas.openxmlformats.org/officeDocument/2006/relationships/hyperlink" Target="https://www.instagram.com/model.nouhaila?igsh=MWxnaXhyM2J2cG12NQ==" TargetMode="External"/><Relationship Id="rId3" Type="http://schemas.openxmlformats.org/officeDocument/2006/relationships/hyperlink" Target="https://www.instagram.com/oudi369?igsh=MXVvdHZqYzdnNnY1MA==" TargetMode="External"/><Relationship Id="rId21" Type="http://schemas.openxmlformats.org/officeDocument/2006/relationships/hyperlink" Target="https://www.instagram.com/anharmii/reels/" TargetMode="External"/><Relationship Id="rId7" Type="http://schemas.openxmlformats.org/officeDocument/2006/relationships/hyperlink" Target="https://www.tiktok.com/@fatima_skincare0" TargetMode="External"/><Relationship Id="rId12" Type="http://schemas.openxmlformats.org/officeDocument/2006/relationships/hyperlink" Target="https://www.instagram.com/diariesofasaudigirl/" TargetMode="External"/><Relationship Id="rId17" Type="http://schemas.openxmlformats.org/officeDocument/2006/relationships/hyperlink" Target="https://www.tiktok.com/@yli11l?_r=1&amp;_t=ZS-97HhSD0cvpc" TargetMode="External"/><Relationship Id="rId25" Type="http://schemas.openxmlformats.org/officeDocument/2006/relationships/hyperlink" Target="https://www.instagram.com/leenxehhb/" TargetMode="External"/><Relationship Id="rId2" Type="http://schemas.openxmlformats.org/officeDocument/2006/relationships/hyperlink" Target="https://www.tiktok.com/@hadeelalmoammar0" TargetMode="External"/><Relationship Id="rId16" Type="http://schemas.openxmlformats.org/officeDocument/2006/relationships/hyperlink" Target="https://www.instagram.com/gghsoun?igsh=MTdtb243d2gyaTh2aA==" TargetMode="External"/><Relationship Id="rId20" Type="http://schemas.openxmlformats.org/officeDocument/2006/relationships/hyperlink" Target="https://www.instagram.com/huda.ahk?igsh=MXc1Mzl5cW93dHpsdw==" TargetMode="External"/><Relationship Id="rId1" Type="http://schemas.openxmlformats.org/officeDocument/2006/relationships/hyperlink" Target="https://www.instagram.com/lillian.hassanieh_/" TargetMode="External"/><Relationship Id="rId6" Type="http://schemas.openxmlformats.org/officeDocument/2006/relationships/hyperlink" Target="https://www.instagram.com/p/DWYj5nkCsgi/?img_index=1" TargetMode="External"/><Relationship Id="rId11" Type="http://schemas.openxmlformats.org/officeDocument/2006/relationships/hyperlink" Target="https://www.tiktok.com/@hililxia_?_r=1&amp;_t=ZS-97Hglw5WVaH" TargetMode="External"/><Relationship Id="rId24" Type="http://schemas.openxmlformats.org/officeDocument/2006/relationships/hyperlink" Target="https://www.instagram.com/model_aram_/" TargetMode="External"/><Relationship Id="rId5" Type="http://schemas.openxmlformats.org/officeDocument/2006/relationships/hyperlink" Target="https://www.instagram.com/hernamejenna/" TargetMode="External"/><Relationship Id="rId15" Type="http://schemas.openxmlformats.org/officeDocument/2006/relationships/hyperlink" Target="https://www.instagram.com/njla347?igsh=" TargetMode="External"/><Relationship Id="rId23" Type="http://schemas.openxmlformats.org/officeDocument/2006/relationships/hyperlink" Target="https://www.instagram.com/_iamangeln?igsh=MTk2bzAza3FmbnU2cg==" TargetMode="External"/><Relationship Id="rId10" Type="http://schemas.openxmlformats.org/officeDocument/2006/relationships/hyperlink" Target="https://www.instagram.com/model_ibtissam/" TargetMode="External"/><Relationship Id="rId19" Type="http://schemas.openxmlformats.org/officeDocument/2006/relationships/hyperlink" Target="https://www.instagram.com/sara92askar?igsh=MWEweWpmN2t4dWhsMg==" TargetMode="External"/><Relationship Id="rId4" Type="http://schemas.openxmlformats.org/officeDocument/2006/relationships/hyperlink" Target="https://www.tiktok.com/@aliakhhh?_r=" TargetMode="External"/><Relationship Id="rId9" Type="http://schemas.openxmlformats.org/officeDocument/2006/relationships/hyperlink" Target="https://www.tiktok.com/@iuimio?_r=1&amp;_t=ZS-97Ge2TBiAmT" TargetMode="External"/><Relationship Id="rId14" Type="http://schemas.openxmlformats.org/officeDocument/2006/relationships/hyperlink" Target="https://www.instagram.com/zeina.alakhras?igsh=MTF4cnJmd2EzbzI3cQ%3D%3D" TargetMode="External"/><Relationship Id="rId22" Type="http://schemas.openxmlformats.org/officeDocument/2006/relationships/hyperlink" Target="https://www.instagram.com/razanwaleed3425?igsh=bTZ6a3I0YjB0dGZ1" TargetMode="External"/><Relationship Id="rId27" Type="http://schemas.openxmlformats.org/officeDocument/2006/relationships/hyperlink" Target="https://www.instagram.com/model_dinadounia_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emmy_magd?igsh=MTN2aWRuZXN4djZzeA==" TargetMode="External"/><Relationship Id="rId18" Type="http://schemas.openxmlformats.org/officeDocument/2006/relationships/hyperlink" Target="https://www.instagram.com/fatima_alfaris?igsh=MTJyMjU2N2M2N284cA==" TargetMode="External"/><Relationship Id="rId26" Type="http://schemas.openxmlformats.org/officeDocument/2006/relationships/hyperlink" Target="https://www.instagram.com/ai__sha090?igsh=MWdvenJkdHVodzBuYQ==" TargetMode="External"/><Relationship Id="rId39" Type="http://schemas.openxmlformats.org/officeDocument/2006/relationships/hyperlink" Target="https://www.instagram.com/rimar.moe/" TargetMode="External"/><Relationship Id="rId21" Type="http://schemas.openxmlformats.org/officeDocument/2006/relationships/hyperlink" Target="https://www.tiktok.com/@shoruqalsalmi" TargetMode="External"/><Relationship Id="rId34" Type="http://schemas.openxmlformats.org/officeDocument/2006/relationships/hyperlink" Target="https://www.instagram.com/model.rahaf?igsh=" TargetMode="External"/><Relationship Id="rId42" Type="http://schemas.openxmlformats.org/officeDocument/2006/relationships/hyperlink" Target="https://www.instagram.com/mahabassem?igsh=a3Q0ZG1qM24yaHRr" TargetMode="External"/><Relationship Id="rId47" Type="http://schemas.openxmlformats.org/officeDocument/2006/relationships/hyperlink" Target="https://www.instagram.com/lillyfranssis_makeup?igsh=MXE5eGJwN2E0bDBxYw==" TargetMode="External"/><Relationship Id="rId50" Type="http://schemas.openxmlformats.org/officeDocument/2006/relationships/hyperlink" Target="https://www.instagram.com/asmaa__almehri/" TargetMode="External"/><Relationship Id="rId55" Type="http://schemas.openxmlformats.org/officeDocument/2006/relationships/hyperlink" Target="https://www.instagram.com/smaheralzainy/" TargetMode="External"/><Relationship Id="rId7" Type="http://schemas.openxmlformats.org/officeDocument/2006/relationships/hyperlink" Target="https://www.tiktok.com/@afnan_alrugaib" TargetMode="External"/><Relationship Id="rId2" Type="http://schemas.openxmlformats.org/officeDocument/2006/relationships/hyperlink" Target="https://www.tiktok.com/@razanfayad" TargetMode="External"/><Relationship Id="rId16" Type="http://schemas.openxmlformats.org/officeDocument/2006/relationships/hyperlink" Target="https://www.instagram.com/noranabdulhafiz?igsh=MWRnaXRwMGNkbjh2Mg==" TargetMode="External"/><Relationship Id="rId29" Type="http://schemas.openxmlformats.org/officeDocument/2006/relationships/hyperlink" Target="https://www.instagram.com/khaled.elibrahim/" TargetMode="External"/><Relationship Id="rId11" Type="http://schemas.openxmlformats.org/officeDocument/2006/relationships/hyperlink" Target="https://www.tiktok.com/@rrvii8" TargetMode="External"/><Relationship Id="rId24" Type="http://schemas.openxmlformats.org/officeDocument/2006/relationships/hyperlink" Target="https://www.instagram.com/33nabah/" TargetMode="External"/><Relationship Id="rId32" Type="http://schemas.openxmlformats.org/officeDocument/2006/relationships/hyperlink" Target="https://www.instagram.com/dona.335/" TargetMode="External"/><Relationship Id="rId37" Type="http://schemas.openxmlformats.org/officeDocument/2006/relationships/hyperlink" Target="https://www.instagram.com/rawan10010/" TargetMode="External"/><Relationship Id="rId40" Type="http://schemas.openxmlformats.org/officeDocument/2006/relationships/hyperlink" Target="https://www.instagram.com/shahoda_touch/" TargetMode="External"/><Relationship Id="rId45" Type="http://schemas.openxmlformats.org/officeDocument/2006/relationships/hyperlink" Target="https://www.instagram.com/n88f.8/" TargetMode="External"/><Relationship Id="rId53" Type="http://schemas.openxmlformats.org/officeDocument/2006/relationships/hyperlink" Target="https://www.tiktok.com/@imayousah" TargetMode="External"/><Relationship Id="rId58" Type="http://schemas.openxmlformats.org/officeDocument/2006/relationships/hyperlink" Target="https://www.tiktok.com/@ahad_2121" TargetMode="External"/><Relationship Id="rId5" Type="http://schemas.openxmlformats.org/officeDocument/2006/relationships/hyperlink" Target="https://www.instagram.com/model.mouhra369/" TargetMode="External"/><Relationship Id="rId61" Type="http://schemas.openxmlformats.org/officeDocument/2006/relationships/hyperlink" Target="https://www.instagram.com/mayaalkhaled/" TargetMode="External"/><Relationship Id="rId19" Type="http://schemas.openxmlformats.org/officeDocument/2006/relationships/hyperlink" Target="https://www.tiktok.com/@yaracheriif" TargetMode="External"/><Relationship Id="rId14" Type="http://schemas.openxmlformats.org/officeDocument/2006/relationships/hyperlink" Target="https://www.instagram.com/nora.styl9?igsh=MXQ0anRxeHg1c2t1ZA==" TargetMode="External"/><Relationship Id="rId22" Type="http://schemas.openxmlformats.org/officeDocument/2006/relationships/hyperlink" Target="https://www.tiktok.com/@raheed__" TargetMode="External"/><Relationship Id="rId27" Type="http://schemas.openxmlformats.org/officeDocument/2006/relationships/hyperlink" Target="https://www.instagram.com/osama.alfares95/" TargetMode="External"/><Relationship Id="rId30" Type="http://schemas.openxmlformats.org/officeDocument/2006/relationships/hyperlink" Target="https://www.instagram.com/model_nour369/" TargetMode="External"/><Relationship Id="rId35" Type="http://schemas.openxmlformats.org/officeDocument/2006/relationships/hyperlink" Target="https://www.instagram.com/noufsami001?igsh=MTkzcWtlOW5pbTd6ZQ==" TargetMode="External"/><Relationship Id="rId43" Type="http://schemas.openxmlformats.org/officeDocument/2006/relationships/hyperlink" Target="https://www.tiktok.com/@saudigirlreviews" TargetMode="External"/><Relationship Id="rId48" Type="http://schemas.openxmlformats.org/officeDocument/2006/relationships/hyperlink" Target="https://www.instagram.com/_0et/" TargetMode="External"/><Relationship Id="rId56" Type="http://schemas.openxmlformats.org/officeDocument/2006/relationships/hyperlink" Target="https://www.instagram.com/radwa.ameen.elsharbatly?igsh=dWw0bnRmaWVveW5n" TargetMode="External"/><Relationship Id="rId8" Type="http://schemas.openxmlformats.org/officeDocument/2006/relationships/hyperlink" Target="https://www.tiktok.com/@lucy.mohammed" TargetMode="External"/><Relationship Id="rId51" Type="http://schemas.openxmlformats.org/officeDocument/2006/relationships/hyperlink" Target="https://www.instagram.com/iv.pic/" TargetMode="External"/><Relationship Id="rId3" Type="http://schemas.openxmlformats.org/officeDocument/2006/relationships/hyperlink" Target="https://www.instagram.com/hind.eraa?igsh=bm9jaHdiNHg2cDJq" TargetMode="External"/><Relationship Id="rId12" Type="http://schemas.openxmlformats.org/officeDocument/2006/relationships/hyperlink" Target="https://www.tiktok.com/@awsafalfares" TargetMode="External"/><Relationship Id="rId17" Type="http://schemas.openxmlformats.org/officeDocument/2006/relationships/hyperlink" Target="https://www.instagram.com/model.nour1/" TargetMode="External"/><Relationship Id="rId25" Type="http://schemas.openxmlformats.org/officeDocument/2006/relationships/hyperlink" Target="https://www.tiktok.com/@haneen_3388" TargetMode="External"/><Relationship Id="rId33" Type="http://schemas.openxmlformats.org/officeDocument/2006/relationships/hyperlink" Target="https://www.instagram.com/roqanajjar/" TargetMode="External"/><Relationship Id="rId38" Type="http://schemas.openxmlformats.org/officeDocument/2006/relationships/hyperlink" Target="https://www.instagram.com/daliaasaharti111/" TargetMode="External"/><Relationship Id="rId46" Type="http://schemas.openxmlformats.org/officeDocument/2006/relationships/hyperlink" Target="https://www.instagram.com/model.sarita7/" TargetMode="External"/><Relationship Id="rId59" Type="http://schemas.openxmlformats.org/officeDocument/2006/relationships/hyperlink" Target="https://www.instagram.com/raghdaa.m1?igsh=MWVqbHVzMG5mZmdpbA==" TargetMode="External"/><Relationship Id="rId20" Type="http://schemas.openxmlformats.org/officeDocument/2006/relationships/hyperlink" Target="https://www.instagram.com/modelreem92?igsh=dDIzMHY2Y3F5dTZ5" TargetMode="External"/><Relationship Id="rId41" Type="http://schemas.openxmlformats.org/officeDocument/2006/relationships/hyperlink" Target="https://www.instagram.com/razan_alsadig1?igsh=MWhlcm5oODd0YjV6Mw==" TargetMode="External"/><Relationship Id="rId54" Type="http://schemas.openxmlformats.org/officeDocument/2006/relationships/hyperlink" Target="https://www.tiktok.com/@loki.reviews" TargetMode="External"/><Relationship Id="rId1" Type="http://schemas.openxmlformats.org/officeDocument/2006/relationships/hyperlink" Target="https://www.instagram.com/n.model1/" TargetMode="External"/><Relationship Id="rId6" Type="http://schemas.openxmlformats.org/officeDocument/2006/relationships/hyperlink" Target="https://www.tiktok.com/@mro.777" TargetMode="External"/><Relationship Id="rId15" Type="http://schemas.openxmlformats.org/officeDocument/2006/relationships/hyperlink" Target="https://www.instagram.com/hms_mhamad/" TargetMode="External"/><Relationship Id="rId23" Type="http://schemas.openxmlformats.org/officeDocument/2006/relationships/hyperlink" Target="https://www.instagram.com/ramaamodel/" TargetMode="External"/><Relationship Id="rId28" Type="http://schemas.openxmlformats.org/officeDocument/2006/relationships/hyperlink" Target="https://www.instagram.com/shayma.hakeem_?igsh=M2FnYjU2aDhydWI1" TargetMode="External"/><Relationship Id="rId36" Type="http://schemas.openxmlformats.org/officeDocument/2006/relationships/hyperlink" Target="https://www.instagram.com/ghaidaa_ali/" TargetMode="External"/><Relationship Id="rId49" Type="http://schemas.openxmlformats.org/officeDocument/2006/relationships/hyperlink" Target="https://www.instagram.com/mayar__eldeeb/" TargetMode="External"/><Relationship Id="rId57" Type="http://schemas.openxmlformats.org/officeDocument/2006/relationships/hyperlink" Target="https://www.instagram.com/hessah_alsudais/" TargetMode="External"/><Relationship Id="rId10" Type="http://schemas.openxmlformats.org/officeDocument/2006/relationships/hyperlink" Target="https://www.tiktok.com/@lologmoj70m?fbclid=" TargetMode="External"/><Relationship Id="rId31" Type="http://schemas.openxmlformats.org/officeDocument/2006/relationships/hyperlink" Target="https://www.instagram.com/rahafruw?igsh=cGxtcDBmOHE5OXJi" TargetMode="External"/><Relationship Id="rId44" Type="http://schemas.openxmlformats.org/officeDocument/2006/relationships/hyperlink" Target="https://www.instagram.com/model.nayaa?igsh=" TargetMode="External"/><Relationship Id="rId52" Type="http://schemas.openxmlformats.org/officeDocument/2006/relationships/hyperlink" Target="https://www.instagram.com/alanoudalfallaj?igsh=Z2F5dHY1bGNwdDJh" TargetMode="External"/><Relationship Id="rId60" Type="http://schemas.openxmlformats.org/officeDocument/2006/relationships/hyperlink" Target="https://www.instagram.com/tahane_life/" TargetMode="External"/><Relationship Id="rId4" Type="http://schemas.openxmlformats.org/officeDocument/2006/relationships/hyperlink" Target="https://www.tiktok.com/@alaacherbaji?_r=" TargetMode="External"/><Relationship Id="rId9" Type="http://schemas.openxmlformats.org/officeDocument/2006/relationships/hyperlink" Target="https://www.instagram.com/rahafabunada75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amal.l10/" TargetMode="External"/><Relationship Id="rId21" Type="http://schemas.openxmlformats.org/officeDocument/2006/relationships/hyperlink" Target="https://www.instagram.com/reema_elharbi/" TargetMode="External"/><Relationship Id="rId42" Type="http://schemas.openxmlformats.org/officeDocument/2006/relationships/hyperlink" Target="https://www.instagram.com/jaawaher.jamal/" TargetMode="External"/><Relationship Id="rId47" Type="http://schemas.openxmlformats.org/officeDocument/2006/relationships/hyperlink" Target="https://www.tiktok.com/@mashael_cdc" TargetMode="External"/><Relationship Id="rId63" Type="http://schemas.openxmlformats.org/officeDocument/2006/relationships/hyperlink" Target="https://www.instagram.com/rr10ou/" TargetMode="External"/><Relationship Id="rId68" Type="http://schemas.openxmlformats.org/officeDocument/2006/relationships/hyperlink" Target="https://www.instagram.com/its.daad/" TargetMode="External"/><Relationship Id="rId7" Type="http://schemas.openxmlformats.org/officeDocument/2006/relationships/hyperlink" Target="https://www.tiktok.com/@43.tu?_r=1&amp;_t=ZS-97HggIYREcX" TargetMode="External"/><Relationship Id="rId2" Type="http://schemas.openxmlformats.org/officeDocument/2006/relationships/hyperlink" Target="https://www.instagram.com/rona.makeup4?igsh=b2dsczN6NWx4enA5" TargetMode="External"/><Relationship Id="rId16" Type="http://schemas.openxmlformats.org/officeDocument/2006/relationships/hyperlink" Target="https://www.instagram.com/randbadawi.official/" TargetMode="External"/><Relationship Id="rId29" Type="http://schemas.openxmlformats.org/officeDocument/2006/relationships/hyperlink" Target="https://www.instagram.com/vs.r0se/" TargetMode="External"/><Relationship Id="rId11" Type="http://schemas.openxmlformats.org/officeDocument/2006/relationships/hyperlink" Target="https://www.instagram.com/bashira_alhalabi_7/" TargetMode="External"/><Relationship Id="rId24" Type="http://schemas.openxmlformats.org/officeDocument/2006/relationships/hyperlink" Target="https://www.instagram.com/mirellamrad/" TargetMode="External"/><Relationship Id="rId32" Type="http://schemas.openxmlformats.org/officeDocument/2006/relationships/hyperlink" Target="https://www.instagram.com/ftoon.ma/reels/" TargetMode="External"/><Relationship Id="rId37" Type="http://schemas.openxmlformats.org/officeDocument/2006/relationships/hyperlink" Target="https://www.instagram.com/lilian.official1/" TargetMode="External"/><Relationship Id="rId40" Type="http://schemas.openxmlformats.org/officeDocument/2006/relationships/hyperlink" Target="https://www.instagram.com/rihamelkomy_?igsh=ZHVzbTJ1YW4xbjlo" TargetMode="External"/><Relationship Id="rId45" Type="http://schemas.openxmlformats.org/officeDocument/2006/relationships/hyperlink" Target="https://www.tiktok.com/@zoz7z77" TargetMode="External"/><Relationship Id="rId53" Type="http://schemas.openxmlformats.org/officeDocument/2006/relationships/hyperlink" Target="https://www.instagram.com/fadwa.mua/" TargetMode="External"/><Relationship Id="rId58" Type="http://schemas.openxmlformats.org/officeDocument/2006/relationships/hyperlink" Target="https://www.instagram.com/riri.i9/" TargetMode="External"/><Relationship Id="rId66" Type="http://schemas.openxmlformats.org/officeDocument/2006/relationships/hyperlink" Target="https://www.tiktok.com/@meera3aa" TargetMode="External"/><Relationship Id="rId5" Type="http://schemas.openxmlformats.org/officeDocument/2006/relationships/hyperlink" Target="https://www.instagram.com/nouraglam/" TargetMode="External"/><Relationship Id="rId61" Type="http://schemas.openxmlformats.org/officeDocument/2006/relationships/hyperlink" Target="https://www.instagram.com/itsmodeljojo/" TargetMode="External"/><Relationship Id="rId19" Type="http://schemas.openxmlformats.org/officeDocument/2006/relationships/hyperlink" Target="https://www.instagram.com/dareeneskandar/" TargetMode="External"/><Relationship Id="rId14" Type="http://schemas.openxmlformats.org/officeDocument/2006/relationships/hyperlink" Target="https://www.tiktok.com/@layleojuly" TargetMode="External"/><Relationship Id="rId22" Type="http://schemas.openxmlformats.org/officeDocument/2006/relationships/hyperlink" Target="https://www.instagram.com/soso_benz_beauty_world/" TargetMode="External"/><Relationship Id="rId27" Type="http://schemas.openxmlformats.org/officeDocument/2006/relationships/hyperlink" Target="https://www.tiktok.com/@tala.mlk" TargetMode="External"/><Relationship Id="rId30" Type="http://schemas.openxmlformats.org/officeDocument/2006/relationships/hyperlink" Target="https://www.instagram.com/reemyahia.mua?igsh=" TargetMode="External"/><Relationship Id="rId35" Type="http://schemas.openxmlformats.org/officeDocument/2006/relationships/hyperlink" Target="https://www.instagram.com/heidi_ahmed2/" TargetMode="External"/><Relationship Id="rId43" Type="http://schemas.openxmlformats.org/officeDocument/2006/relationships/hyperlink" Target="https://www.tiktok.com/@ngoouud" TargetMode="External"/><Relationship Id="rId48" Type="http://schemas.openxmlformats.org/officeDocument/2006/relationships/hyperlink" Target="https://www.instagram.com/the_bella7/" TargetMode="External"/><Relationship Id="rId56" Type="http://schemas.openxmlformats.org/officeDocument/2006/relationships/hyperlink" Target="https://www.instagram.com/afnann768?igsh=aHBpZG9pbnhjMmt4" TargetMode="External"/><Relationship Id="rId64" Type="http://schemas.openxmlformats.org/officeDocument/2006/relationships/hyperlink" Target="https://www.instagram.com/mnhllsby/" TargetMode="External"/><Relationship Id="rId69" Type="http://schemas.openxmlformats.org/officeDocument/2006/relationships/hyperlink" Target="https://www.instagram.com/mahahajibraheem/" TargetMode="External"/><Relationship Id="rId8" Type="http://schemas.openxmlformats.org/officeDocument/2006/relationships/hyperlink" Target="https://www.instagram.com/subhieh.alzaibak_official/" TargetMode="External"/><Relationship Id="rId51" Type="http://schemas.openxmlformats.org/officeDocument/2006/relationships/hyperlink" Target="https://www.instagram.com/sara_basrawi/reels/" TargetMode="External"/><Relationship Id="rId3" Type="http://schemas.openxmlformats.org/officeDocument/2006/relationships/hyperlink" Target="https://www.tiktok.com/@awwskky" TargetMode="External"/><Relationship Id="rId12" Type="http://schemas.openxmlformats.org/officeDocument/2006/relationships/hyperlink" Target="https://www.instagram.com/suhaallaf?igsh=MXQ1bGhrZHRpeDNhNA==" TargetMode="External"/><Relationship Id="rId17" Type="http://schemas.openxmlformats.org/officeDocument/2006/relationships/hyperlink" Target="https://www.instagram.com/maram_alnahla/" TargetMode="External"/><Relationship Id="rId25" Type="http://schemas.openxmlformats.org/officeDocument/2006/relationships/hyperlink" Target="https://www.instagram.com/najlaa_saloon1/" TargetMode="External"/><Relationship Id="rId33" Type="http://schemas.openxmlformats.org/officeDocument/2006/relationships/hyperlink" Target="https://www.instagram.com/walaa.albundagji/" TargetMode="External"/><Relationship Id="rId38" Type="http://schemas.openxmlformats.org/officeDocument/2006/relationships/hyperlink" Target="https://www.instagram.com/by.joudy/" TargetMode="External"/><Relationship Id="rId46" Type="http://schemas.openxmlformats.org/officeDocument/2006/relationships/hyperlink" Target="https://www.instagram.com/daliaahmad.official/" TargetMode="External"/><Relationship Id="rId59" Type="http://schemas.openxmlformats.org/officeDocument/2006/relationships/hyperlink" Target="https://www.instagram.com/makeupartist.mz/" TargetMode="External"/><Relationship Id="rId67" Type="http://schemas.openxmlformats.org/officeDocument/2006/relationships/hyperlink" Target="https://www.instagram.com/haitham_1990/" TargetMode="External"/><Relationship Id="rId20" Type="http://schemas.openxmlformats.org/officeDocument/2006/relationships/hyperlink" Target="https://www.instagram.com/queen.smoor/" TargetMode="External"/><Relationship Id="rId41" Type="http://schemas.openxmlformats.org/officeDocument/2006/relationships/hyperlink" Target="https://www.instagram.com/shosho_ibasha/" TargetMode="External"/><Relationship Id="rId54" Type="http://schemas.openxmlformats.org/officeDocument/2006/relationships/hyperlink" Target="https://www.tiktok.com/@alaahariry26" TargetMode="External"/><Relationship Id="rId62" Type="http://schemas.openxmlformats.org/officeDocument/2006/relationships/hyperlink" Target="https://www.instagram.com/hudavaiolet/" TargetMode="External"/><Relationship Id="rId70" Type="http://schemas.openxmlformats.org/officeDocument/2006/relationships/hyperlink" Target="https://www.instagram.com/shahadwhale/" TargetMode="External"/><Relationship Id="rId1" Type="http://schemas.openxmlformats.org/officeDocument/2006/relationships/hyperlink" Target="https://www.instagram.com/abeeralyaseenq8/" TargetMode="External"/><Relationship Id="rId6" Type="http://schemas.openxmlformats.org/officeDocument/2006/relationships/hyperlink" Target="https://www.instagram.com/vs.kno/" TargetMode="External"/><Relationship Id="rId15" Type="http://schemas.openxmlformats.org/officeDocument/2006/relationships/hyperlink" Target="https://www.instagram.com/nouha_manii/" TargetMode="External"/><Relationship Id="rId23" Type="http://schemas.openxmlformats.org/officeDocument/2006/relationships/hyperlink" Target="https://www.instagram.com/mer.a1i/" TargetMode="External"/><Relationship Id="rId28" Type="http://schemas.openxmlformats.org/officeDocument/2006/relationships/hyperlink" Target="https://www.instagram.com/loura_sakoul/" TargetMode="External"/><Relationship Id="rId36" Type="http://schemas.openxmlformats.org/officeDocument/2006/relationships/hyperlink" Target="https://www.instagram.com/hanisanaani/" TargetMode="External"/><Relationship Id="rId49" Type="http://schemas.openxmlformats.org/officeDocument/2006/relationships/hyperlink" Target="https://www.instagram.com/fatmahadell/" TargetMode="External"/><Relationship Id="rId57" Type="http://schemas.openxmlformats.org/officeDocument/2006/relationships/hyperlink" Target="https://www.instagram.com/shaimaaalassaad/" TargetMode="External"/><Relationship Id="rId10" Type="http://schemas.openxmlformats.org/officeDocument/2006/relationships/hyperlink" Target="https://www.tiktok.com/@lozaradwan?_t=" TargetMode="External"/><Relationship Id="rId31" Type="http://schemas.openxmlformats.org/officeDocument/2006/relationships/hyperlink" Target="https://www.instagram.com/shahad.d44/" TargetMode="External"/><Relationship Id="rId44" Type="http://schemas.openxmlformats.org/officeDocument/2006/relationships/hyperlink" Target="https://www.instagram.com/anoudalmanama/" TargetMode="External"/><Relationship Id="rId52" Type="http://schemas.openxmlformats.org/officeDocument/2006/relationships/hyperlink" Target="https://www.instagram.com/its_me_sofia94/" TargetMode="External"/><Relationship Id="rId60" Type="http://schemas.openxmlformats.org/officeDocument/2006/relationships/hyperlink" Target="https://www.instagram.com/modell_ree?igsh=MTJsbTU0NG85MXh2NA==" TargetMode="External"/><Relationship Id="rId65" Type="http://schemas.openxmlformats.org/officeDocument/2006/relationships/hyperlink" Target="https://www.instagram.com/dr.hanouf97/" TargetMode="External"/><Relationship Id="rId4" Type="http://schemas.openxmlformats.org/officeDocument/2006/relationships/hyperlink" Target="https://www.tiktok.com/@ghufranhatim?fbclid=" TargetMode="External"/><Relationship Id="rId9" Type="http://schemas.openxmlformats.org/officeDocument/2006/relationships/hyperlink" Target="https://www.instagram.com/jnjooh?igsh=MXF6eTF2ZzR4anFzeg==" TargetMode="External"/><Relationship Id="rId13" Type="http://schemas.openxmlformats.org/officeDocument/2006/relationships/hyperlink" Target="https://www.instagram.com/he_1244/reels/" TargetMode="External"/><Relationship Id="rId18" Type="http://schemas.openxmlformats.org/officeDocument/2006/relationships/hyperlink" Target="https://www.instagram.com/jolie.fahad/" TargetMode="External"/><Relationship Id="rId39" Type="http://schemas.openxmlformats.org/officeDocument/2006/relationships/hyperlink" Target="https://www.instagram.com/bellafaris66/" TargetMode="External"/><Relationship Id="rId34" Type="http://schemas.openxmlformats.org/officeDocument/2006/relationships/hyperlink" Target="https://www.instagram.com/food_and_beyond_travel?igsh=MWYxN3pqM2huMjM2cg%3D%3D" TargetMode="External"/><Relationship Id="rId50" Type="http://schemas.openxmlformats.org/officeDocument/2006/relationships/hyperlink" Target="https://www.instagram.com/weam784/" TargetMode="External"/><Relationship Id="rId55" Type="http://schemas.openxmlformats.org/officeDocument/2006/relationships/hyperlink" Target="https://www.instagram.com/artist_abeeryasse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ghalya.mu/" TargetMode="External"/><Relationship Id="rId2" Type="http://schemas.openxmlformats.org/officeDocument/2006/relationships/hyperlink" Target="https://www.tiktok.com/@omnyaelmasry.0" TargetMode="External"/><Relationship Id="rId1" Type="http://schemas.openxmlformats.org/officeDocument/2006/relationships/hyperlink" Target="https://www.instagram.com/noha.mgd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rightToLeft="1" zoomScaleNormal="100" workbookViewId="0">
      <pane ySplit="3" topLeftCell="A132" activePane="bottomLeft" state="frozen"/>
      <selection pane="bottomLeft" activeCell="J22" sqref="J22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14" customWidth="1"/>
    <col min="4" max="4" width="30" customWidth="1"/>
    <col min="5" max="7" width="15" customWidth="1"/>
    <col min="8" max="8" width="32" customWidth="1"/>
  </cols>
  <sheetData>
    <row r="1" spans="1:8" ht="31.5" customHeight="1" x14ac:dyDescent="0.2">
      <c r="A1" s="7" t="s">
        <v>0</v>
      </c>
      <c r="B1" s="7"/>
      <c r="C1" s="7"/>
      <c r="D1" s="7"/>
      <c r="E1" s="7"/>
      <c r="F1" s="7"/>
      <c r="G1" s="7"/>
      <c r="H1" s="7"/>
    </row>
    <row r="3" spans="1:8" ht="2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x14ac:dyDescent="0.2">
      <c r="A4" s="9">
        <v>1</v>
      </c>
      <c r="B4" s="10" t="s">
        <v>9</v>
      </c>
      <c r="C4" s="9" t="s">
        <v>10</v>
      </c>
      <c r="D4" s="11" t="s">
        <v>11</v>
      </c>
      <c r="E4" s="9" t="s">
        <v>12</v>
      </c>
      <c r="F4" s="12">
        <v>697000</v>
      </c>
      <c r="G4" s="9" t="s">
        <v>13</v>
      </c>
      <c r="H4" s="13"/>
    </row>
    <row r="5" spans="1:8" x14ac:dyDescent="0.2">
      <c r="A5" s="14">
        <v>2</v>
      </c>
      <c r="B5" s="15" t="s">
        <v>14</v>
      </c>
      <c r="C5" s="14" t="s">
        <v>15</v>
      </c>
      <c r="D5" s="16" t="s">
        <v>16</v>
      </c>
      <c r="E5" s="14" t="s">
        <v>17</v>
      </c>
      <c r="F5" s="17">
        <v>618900</v>
      </c>
      <c r="G5" s="14" t="s">
        <v>13</v>
      </c>
      <c r="H5" s="18"/>
    </row>
    <row r="6" spans="1:8" x14ac:dyDescent="0.2">
      <c r="A6" s="9">
        <v>3</v>
      </c>
      <c r="B6" s="10" t="s">
        <v>18</v>
      </c>
      <c r="C6" s="9" t="s">
        <v>10</v>
      </c>
      <c r="D6" s="11" t="s">
        <v>19</v>
      </c>
      <c r="E6" s="9" t="s">
        <v>12</v>
      </c>
      <c r="F6" s="12">
        <v>511000</v>
      </c>
      <c r="G6" s="9" t="s">
        <v>13</v>
      </c>
      <c r="H6" s="13"/>
    </row>
    <row r="7" spans="1:8" x14ac:dyDescent="0.2">
      <c r="A7" s="14">
        <v>4</v>
      </c>
      <c r="B7" s="15" t="s">
        <v>20</v>
      </c>
      <c r="C7" s="14" t="s">
        <v>10</v>
      </c>
      <c r="D7" s="16" t="s">
        <v>21</v>
      </c>
      <c r="E7" s="14" t="s">
        <v>12</v>
      </c>
      <c r="F7" s="17">
        <v>499000</v>
      </c>
      <c r="G7" s="14" t="s">
        <v>22</v>
      </c>
      <c r="H7" s="18"/>
    </row>
    <row r="8" spans="1:8" x14ac:dyDescent="0.2">
      <c r="A8" s="9">
        <v>5</v>
      </c>
      <c r="B8" s="10" t="s">
        <v>23</v>
      </c>
      <c r="C8" s="9" t="s">
        <v>24</v>
      </c>
      <c r="D8" s="11" t="s">
        <v>25</v>
      </c>
      <c r="E8" s="9" t="s">
        <v>12</v>
      </c>
      <c r="F8" s="12">
        <v>329000</v>
      </c>
      <c r="G8" s="9" t="s">
        <v>22</v>
      </c>
      <c r="H8" s="13"/>
    </row>
    <row r="9" spans="1:8" x14ac:dyDescent="0.2">
      <c r="A9" s="14">
        <v>6</v>
      </c>
      <c r="B9" s="15" t="s">
        <v>26</v>
      </c>
      <c r="C9" s="14" t="s">
        <v>24</v>
      </c>
      <c r="D9" s="16" t="s">
        <v>27</v>
      </c>
      <c r="E9" s="14" t="s">
        <v>17</v>
      </c>
      <c r="F9" s="17">
        <v>318300</v>
      </c>
      <c r="G9" s="14" t="s">
        <v>22</v>
      </c>
      <c r="H9" s="18"/>
    </row>
    <row r="10" spans="1:8" x14ac:dyDescent="0.2">
      <c r="A10" s="9">
        <v>7</v>
      </c>
      <c r="B10" s="10" t="s">
        <v>28</v>
      </c>
      <c r="C10" s="9" t="s">
        <v>15</v>
      </c>
      <c r="D10" s="11" t="s">
        <v>29</v>
      </c>
      <c r="E10" s="9" t="s">
        <v>17</v>
      </c>
      <c r="F10" s="12">
        <v>317300</v>
      </c>
      <c r="G10" s="9" t="s">
        <v>22</v>
      </c>
      <c r="H10" s="13"/>
    </row>
    <row r="11" spans="1:8" x14ac:dyDescent="0.2">
      <c r="A11" s="14">
        <v>8</v>
      </c>
      <c r="B11" s="15" t="s">
        <v>30</v>
      </c>
      <c r="C11" s="14" t="s">
        <v>10</v>
      </c>
      <c r="D11" s="16" t="s">
        <v>31</v>
      </c>
      <c r="E11" s="14" t="s">
        <v>12</v>
      </c>
      <c r="F11" s="17">
        <v>287000</v>
      </c>
      <c r="G11" s="14" t="s">
        <v>22</v>
      </c>
      <c r="H11" s="18"/>
    </row>
    <row r="12" spans="1:8" x14ac:dyDescent="0.2">
      <c r="A12" s="9">
        <v>9</v>
      </c>
      <c r="B12" s="10" t="s">
        <v>32</v>
      </c>
      <c r="C12" s="9" t="s">
        <v>10</v>
      </c>
      <c r="D12" s="11" t="s">
        <v>33</v>
      </c>
      <c r="E12" s="9" t="s">
        <v>12</v>
      </c>
      <c r="F12" s="12">
        <v>240000</v>
      </c>
      <c r="G12" s="9" t="s">
        <v>22</v>
      </c>
      <c r="H12" s="13"/>
    </row>
    <row r="13" spans="1:8" x14ac:dyDescent="0.2">
      <c r="A13" s="14">
        <v>10</v>
      </c>
      <c r="B13" s="15" t="s">
        <v>34</v>
      </c>
      <c r="C13" s="14" t="s">
        <v>15</v>
      </c>
      <c r="D13" s="16" t="s">
        <v>35</v>
      </c>
      <c r="E13" s="14" t="s">
        <v>17</v>
      </c>
      <c r="F13" s="17">
        <v>237700</v>
      </c>
      <c r="G13" s="14" t="s">
        <v>22</v>
      </c>
      <c r="H13" s="18"/>
    </row>
    <row r="14" spans="1:8" x14ac:dyDescent="0.2">
      <c r="A14" s="9">
        <v>11</v>
      </c>
      <c r="B14" s="10" t="s">
        <v>36</v>
      </c>
      <c r="C14" s="9" t="s">
        <v>24</v>
      </c>
      <c r="D14" s="11" t="s">
        <v>37</v>
      </c>
      <c r="E14" s="9" t="s">
        <v>12</v>
      </c>
      <c r="F14" s="12">
        <v>217000</v>
      </c>
      <c r="G14" s="9" t="s">
        <v>22</v>
      </c>
      <c r="H14" s="13"/>
    </row>
    <row r="15" spans="1:8" x14ac:dyDescent="0.2">
      <c r="A15" s="14">
        <v>12</v>
      </c>
      <c r="B15" s="15" t="s">
        <v>38</v>
      </c>
      <c r="C15" s="14" t="s">
        <v>24</v>
      </c>
      <c r="D15" s="16" t="s">
        <v>39</v>
      </c>
      <c r="E15" s="14" t="s">
        <v>12</v>
      </c>
      <c r="F15" s="17">
        <v>217000</v>
      </c>
      <c r="G15" s="14" t="s">
        <v>22</v>
      </c>
      <c r="H15" s="18"/>
    </row>
    <row r="16" spans="1:8" x14ac:dyDescent="0.2">
      <c r="A16" s="9">
        <v>13</v>
      </c>
      <c r="B16" s="10" t="s">
        <v>40</v>
      </c>
      <c r="C16" s="9" t="s">
        <v>15</v>
      </c>
      <c r="D16" s="11" t="s">
        <v>41</v>
      </c>
      <c r="E16" s="9" t="s">
        <v>17</v>
      </c>
      <c r="F16" s="12">
        <v>212000</v>
      </c>
      <c r="G16" s="9" t="s">
        <v>22</v>
      </c>
      <c r="H16" s="13"/>
    </row>
    <row r="17" spans="1:8" x14ac:dyDescent="0.2">
      <c r="A17" s="14">
        <v>14</v>
      </c>
      <c r="B17" s="15" t="s">
        <v>42</v>
      </c>
      <c r="C17" s="14" t="s">
        <v>24</v>
      </c>
      <c r="D17" s="16" t="s">
        <v>43</v>
      </c>
      <c r="E17" s="14" t="s">
        <v>12</v>
      </c>
      <c r="F17" s="17">
        <v>207000</v>
      </c>
      <c r="G17" s="14" t="s">
        <v>22</v>
      </c>
      <c r="H17" s="18"/>
    </row>
    <row r="18" spans="1:8" x14ac:dyDescent="0.2">
      <c r="A18" s="9">
        <v>15</v>
      </c>
      <c r="B18" s="10" t="s">
        <v>44</v>
      </c>
      <c r="C18" s="9" t="s">
        <v>24</v>
      </c>
      <c r="D18" s="11" t="s">
        <v>45</v>
      </c>
      <c r="E18" s="9" t="s">
        <v>12</v>
      </c>
      <c r="F18" s="12">
        <v>204000</v>
      </c>
      <c r="G18" s="9" t="s">
        <v>22</v>
      </c>
      <c r="H18" s="13"/>
    </row>
    <row r="19" spans="1:8" x14ac:dyDescent="0.2">
      <c r="A19" s="14">
        <v>16</v>
      </c>
      <c r="B19" s="15" t="s">
        <v>46</v>
      </c>
      <c r="C19" s="14" t="s">
        <v>24</v>
      </c>
      <c r="D19" s="16" t="s">
        <v>47</v>
      </c>
      <c r="E19" s="14" t="s">
        <v>12</v>
      </c>
      <c r="F19" s="17">
        <v>196000</v>
      </c>
      <c r="G19" s="14" t="s">
        <v>22</v>
      </c>
      <c r="H19" s="18"/>
    </row>
    <row r="20" spans="1:8" x14ac:dyDescent="0.2">
      <c r="A20" s="9">
        <v>17</v>
      </c>
      <c r="B20" s="10" t="s">
        <v>48</v>
      </c>
      <c r="C20" s="9" t="s">
        <v>24</v>
      </c>
      <c r="D20" s="11" t="s">
        <v>49</v>
      </c>
      <c r="E20" s="9" t="s">
        <v>17</v>
      </c>
      <c r="F20" s="12">
        <v>189700</v>
      </c>
      <c r="G20" s="9" t="s">
        <v>22</v>
      </c>
      <c r="H20" s="13"/>
    </row>
    <row r="21" spans="1:8" x14ac:dyDescent="0.2">
      <c r="A21" s="14">
        <v>18</v>
      </c>
      <c r="B21" s="15" t="s">
        <v>50</v>
      </c>
      <c r="C21" s="14" t="s">
        <v>24</v>
      </c>
      <c r="D21" s="16" t="s">
        <v>51</v>
      </c>
      <c r="E21" s="14" t="s">
        <v>12</v>
      </c>
      <c r="F21" s="17">
        <v>187000</v>
      </c>
      <c r="G21" s="14" t="s">
        <v>22</v>
      </c>
      <c r="H21" s="18"/>
    </row>
    <row r="22" spans="1:8" x14ac:dyDescent="0.2">
      <c r="A22" s="9">
        <v>19</v>
      </c>
      <c r="B22" s="10" t="s">
        <v>52</v>
      </c>
      <c r="C22" s="9" t="s">
        <v>24</v>
      </c>
      <c r="D22" s="11" t="s">
        <v>53</v>
      </c>
      <c r="E22" s="9" t="s">
        <v>12</v>
      </c>
      <c r="F22" s="12">
        <v>181000</v>
      </c>
      <c r="G22" s="9" t="s">
        <v>22</v>
      </c>
      <c r="H22" s="13"/>
    </row>
    <row r="23" spans="1:8" x14ac:dyDescent="0.2">
      <c r="A23" s="14">
        <v>20</v>
      </c>
      <c r="B23" s="15" t="s">
        <v>54</v>
      </c>
      <c r="C23" s="14" t="s">
        <v>24</v>
      </c>
      <c r="D23" s="16" t="s">
        <v>55</v>
      </c>
      <c r="E23" s="14" t="s">
        <v>12</v>
      </c>
      <c r="F23" s="17">
        <v>167000</v>
      </c>
      <c r="G23" s="14" t="s">
        <v>22</v>
      </c>
      <c r="H23" s="18"/>
    </row>
    <row r="24" spans="1:8" x14ac:dyDescent="0.2">
      <c r="A24" s="9">
        <v>21</v>
      </c>
      <c r="B24" s="10" t="s">
        <v>56</v>
      </c>
      <c r="C24" s="9" t="s">
        <v>10</v>
      </c>
      <c r="D24" s="11" t="s">
        <v>57</v>
      </c>
      <c r="E24" s="9" t="s">
        <v>12</v>
      </c>
      <c r="F24" s="12">
        <v>167000</v>
      </c>
      <c r="G24" s="9" t="s">
        <v>22</v>
      </c>
      <c r="H24" s="13"/>
    </row>
    <row r="25" spans="1:8" x14ac:dyDescent="0.2">
      <c r="A25" s="14">
        <v>22</v>
      </c>
      <c r="B25" s="15" t="s">
        <v>58</v>
      </c>
      <c r="C25" s="14" t="s">
        <v>10</v>
      </c>
      <c r="D25" s="16" t="s">
        <v>59</v>
      </c>
      <c r="E25" s="14" t="s">
        <v>12</v>
      </c>
      <c r="F25" s="17">
        <v>154000</v>
      </c>
      <c r="G25" s="14" t="s">
        <v>22</v>
      </c>
      <c r="H25" s="18"/>
    </row>
    <row r="26" spans="1:8" x14ac:dyDescent="0.2">
      <c r="A26" s="9">
        <v>23</v>
      </c>
      <c r="B26" s="10" t="s">
        <v>60</v>
      </c>
      <c r="C26" s="9" t="s">
        <v>10</v>
      </c>
      <c r="D26" s="11" t="s">
        <v>61</v>
      </c>
      <c r="E26" s="9" t="s">
        <v>12</v>
      </c>
      <c r="F26" s="12">
        <v>143000</v>
      </c>
      <c r="G26" s="9" t="s">
        <v>22</v>
      </c>
      <c r="H26" s="13"/>
    </row>
    <row r="27" spans="1:8" x14ac:dyDescent="0.2">
      <c r="A27" s="14">
        <v>24</v>
      </c>
      <c r="B27" s="15" t="s">
        <v>62</v>
      </c>
      <c r="C27" s="14" t="s">
        <v>24</v>
      </c>
      <c r="D27" s="16" t="s">
        <v>63</v>
      </c>
      <c r="E27" s="14" t="s">
        <v>12</v>
      </c>
      <c r="F27" s="17">
        <v>140000</v>
      </c>
      <c r="G27" s="14" t="s">
        <v>22</v>
      </c>
      <c r="H27" s="18"/>
    </row>
    <row r="28" spans="1:8" x14ac:dyDescent="0.2">
      <c r="A28" s="9">
        <v>25</v>
      </c>
      <c r="B28" s="10" t="s">
        <v>64</v>
      </c>
      <c r="C28" s="9" t="s">
        <v>24</v>
      </c>
      <c r="D28" s="11" t="s">
        <v>65</v>
      </c>
      <c r="E28" s="9" t="s">
        <v>12</v>
      </c>
      <c r="F28" s="12">
        <v>139000</v>
      </c>
      <c r="G28" s="9" t="s">
        <v>22</v>
      </c>
      <c r="H28" s="13"/>
    </row>
    <row r="29" spans="1:8" x14ac:dyDescent="0.2">
      <c r="A29" s="14">
        <v>26</v>
      </c>
      <c r="B29" s="15" t="s">
        <v>66</v>
      </c>
      <c r="C29" s="14" t="s">
        <v>24</v>
      </c>
      <c r="D29" s="16" t="s">
        <v>67</v>
      </c>
      <c r="E29" s="14" t="s">
        <v>12</v>
      </c>
      <c r="F29" s="17">
        <v>132000</v>
      </c>
      <c r="G29" s="14" t="s">
        <v>22</v>
      </c>
      <c r="H29" s="18"/>
    </row>
    <row r="30" spans="1:8" x14ac:dyDescent="0.2">
      <c r="A30" s="9">
        <v>27</v>
      </c>
      <c r="B30" s="10" t="s">
        <v>68</v>
      </c>
      <c r="C30" s="9" t="s">
        <v>10</v>
      </c>
      <c r="D30" s="11" t="s">
        <v>69</v>
      </c>
      <c r="E30" s="9" t="s">
        <v>12</v>
      </c>
      <c r="F30" s="12">
        <v>128000</v>
      </c>
      <c r="G30" s="9" t="s">
        <v>22</v>
      </c>
      <c r="H30" s="13"/>
    </row>
    <row r="31" spans="1:8" x14ac:dyDescent="0.2">
      <c r="A31" s="14">
        <v>28</v>
      </c>
      <c r="B31" s="15" t="s">
        <v>70</v>
      </c>
      <c r="C31" s="14" t="s">
        <v>10</v>
      </c>
      <c r="D31" s="16" t="s">
        <v>71</v>
      </c>
      <c r="E31" s="14" t="s">
        <v>12</v>
      </c>
      <c r="F31" s="17">
        <v>121000</v>
      </c>
      <c r="G31" s="14" t="s">
        <v>22</v>
      </c>
      <c r="H31" s="18"/>
    </row>
    <row r="32" spans="1:8" x14ac:dyDescent="0.2">
      <c r="A32" s="9">
        <v>29</v>
      </c>
      <c r="B32" s="10" t="s">
        <v>72</v>
      </c>
      <c r="C32" s="9" t="s">
        <v>24</v>
      </c>
      <c r="D32" s="11" t="s">
        <v>73</v>
      </c>
      <c r="E32" s="9" t="s">
        <v>12</v>
      </c>
      <c r="F32" s="12">
        <v>118000</v>
      </c>
      <c r="G32" s="9" t="s">
        <v>22</v>
      </c>
      <c r="H32" s="13"/>
    </row>
    <row r="33" spans="1:8" x14ac:dyDescent="0.2">
      <c r="A33" s="14">
        <v>30</v>
      </c>
      <c r="B33" s="15" t="s">
        <v>74</v>
      </c>
      <c r="C33" s="14" t="s">
        <v>10</v>
      </c>
      <c r="D33" s="16" t="s">
        <v>75</v>
      </c>
      <c r="E33" s="14" t="s">
        <v>17</v>
      </c>
      <c r="F33" s="17">
        <v>112200</v>
      </c>
      <c r="G33" s="14" t="s">
        <v>22</v>
      </c>
      <c r="H33" s="18"/>
    </row>
    <row r="34" spans="1:8" x14ac:dyDescent="0.2">
      <c r="A34" s="9">
        <v>31</v>
      </c>
      <c r="B34" s="10" t="s">
        <v>76</v>
      </c>
      <c r="C34" s="9" t="s">
        <v>24</v>
      </c>
      <c r="D34" s="11" t="s">
        <v>77</v>
      </c>
      <c r="E34" s="9" t="s">
        <v>12</v>
      </c>
      <c r="F34" s="12">
        <v>112000</v>
      </c>
      <c r="G34" s="9" t="s">
        <v>22</v>
      </c>
      <c r="H34" s="13"/>
    </row>
    <row r="35" spans="1:8" x14ac:dyDescent="0.2">
      <c r="A35" s="14">
        <v>32</v>
      </c>
      <c r="B35" s="15" t="s">
        <v>78</v>
      </c>
      <c r="C35" s="14" t="s">
        <v>10</v>
      </c>
      <c r="D35" s="16" t="s">
        <v>79</v>
      </c>
      <c r="E35" s="14" t="s">
        <v>12</v>
      </c>
      <c r="F35" s="17">
        <v>106000</v>
      </c>
      <c r="G35" s="14" t="s">
        <v>22</v>
      </c>
      <c r="H35" s="18"/>
    </row>
    <row r="36" spans="1:8" x14ac:dyDescent="0.2">
      <c r="A36" s="9">
        <v>33</v>
      </c>
      <c r="B36" s="10" t="s">
        <v>80</v>
      </c>
      <c r="C36" s="9" t="s">
        <v>15</v>
      </c>
      <c r="D36" s="11" t="s">
        <v>81</v>
      </c>
      <c r="E36" s="9" t="s">
        <v>12</v>
      </c>
      <c r="F36" s="12">
        <v>106000</v>
      </c>
      <c r="G36" s="9" t="s">
        <v>22</v>
      </c>
      <c r="H36" s="13"/>
    </row>
    <row r="37" spans="1:8" x14ac:dyDescent="0.2">
      <c r="A37" s="14">
        <v>34</v>
      </c>
      <c r="B37" s="15" t="s">
        <v>82</v>
      </c>
      <c r="C37" s="14" t="s">
        <v>24</v>
      </c>
      <c r="D37" s="16" t="s">
        <v>83</v>
      </c>
      <c r="E37" s="14" t="s">
        <v>12</v>
      </c>
      <c r="F37" s="17">
        <v>101000</v>
      </c>
      <c r="G37" s="14" t="s">
        <v>22</v>
      </c>
      <c r="H37" s="18"/>
    </row>
    <row r="38" spans="1:8" x14ac:dyDescent="0.2">
      <c r="A38" s="9">
        <v>35</v>
      </c>
      <c r="B38" s="10" t="s">
        <v>84</v>
      </c>
      <c r="C38" s="9" t="s">
        <v>24</v>
      </c>
      <c r="D38" s="11" t="s">
        <v>85</v>
      </c>
      <c r="E38" s="9" t="s">
        <v>12</v>
      </c>
      <c r="F38" s="12">
        <v>101000</v>
      </c>
      <c r="G38" s="9" t="s">
        <v>22</v>
      </c>
      <c r="H38" s="13"/>
    </row>
    <row r="39" spans="1:8" x14ac:dyDescent="0.2">
      <c r="A39" s="14">
        <v>36</v>
      </c>
      <c r="B39" s="15" t="s">
        <v>86</v>
      </c>
      <c r="C39" s="14" t="s">
        <v>24</v>
      </c>
      <c r="D39" s="16" t="s">
        <v>87</v>
      </c>
      <c r="E39" s="14" t="s">
        <v>12</v>
      </c>
      <c r="F39" s="17">
        <v>97500</v>
      </c>
      <c r="G39" s="14" t="s">
        <v>22</v>
      </c>
      <c r="H39" s="18"/>
    </row>
    <row r="40" spans="1:8" x14ac:dyDescent="0.2">
      <c r="A40" s="9">
        <v>37</v>
      </c>
      <c r="B40" s="10" t="s">
        <v>88</v>
      </c>
      <c r="C40" s="9" t="s">
        <v>15</v>
      </c>
      <c r="D40" s="11" t="s">
        <v>89</v>
      </c>
      <c r="E40" s="9" t="s">
        <v>12</v>
      </c>
      <c r="F40" s="12">
        <v>94900</v>
      </c>
      <c r="G40" s="9" t="s">
        <v>22</v>
      </c>
      <c r="H40" s="13"/>
    </row>
    <row r="41" spans="1:8" x14ac:dyDescent="0.2">
      <c r="A41" s="14">
        <v>38</v>
      </c>
      <c r="B41" s="15" t="s">
        <v>90</v>
      </c>
      <c r="C41" s="14" t="s">
        <v>10</v>
      </c>
      <c r="D41" s="16" t="s">
        <v>91</v>
      </c>
      <c r="E41" s="14" t="s">
        <v>12</v>
      </c>
      <c r="F41" s="17">
        <v>94300</v>
      </c>
      <c r="G41" s="14" t="s">
        <v>22</v>
      </c>
      <c r="H41" s="18"/>
    </row>
    <row r="42" spans="1:8" x14ac:dyDescent="0.2">
      <c r="A42" s="9">
        <v>39</v>
      </c>
      <c r="B42" s="10" t="s">
        <v>92</v>
      </c>
      <c r="C42" s="9" t="s">
        <v>24</v>
      </c>
      <c r="D42" s="11" t="s">
        <v>93</v>
      </c>
      <c r="E42" s="9" t="s">
        <v>12</v>
      </c>
      <c r="F42" s="12">
        <v>92700</v>
      </c>
      <c r="G42" s="9" t="s">
        <v>22</v>
      </c>
      <c r="H42" s="13"/>
    </row>
    <row r="43" spans="1:8" x14ac:dyDescent="0.2">
      <c r="A43" s="14">
        <v>40</v>
      </c>
      <c r="B43" s="15" t="s">
        <v>94</v>
      </c>
      <c r="C43" s="14" t="s">
        <v>24</v>
      </c>
      <c r="D43" s="16" t="s">
        <v>95</v>
      </c>
      <c r="E43" s="14" t="s">
        <v>12</v>
      </c>
      <c r="F43" s="17">
        <v>92000</v>
      </c>
      <c r="G43" s="14" t="s">
        <v>22</v>
      </c>
      <c r="H43" s="18"/>
    </row>
    <row r="44" spans="1:8" x14ac:dyDescent="0.2">
      <c r="A44" s="9">
        <v>41</v>
      </c>
      <c r="B44" s="10" t="s">
        <v>96</v>
      </c>
      <c r="C44" s="9" t="s">
        <v>10</v>
      </c>
      <c r="D44" s="11" t="s">
        <v>97</v>
      </c>
      <c r="E44" s="9" t="s">
        <v>12</v>
      </c>
      <c r="F44" s="12">
        <v>91400</v>
      </c>
      <c r="G44" s="9" t="s">
        <v>22</v>
      </c>
      <c r="H44" s="13"/>
    </row>
    <row r="45" spans="1:8" x14ac:dyDescent="0.2">
      <c r="A45" s="14">
        <v>42</v>
      </c>
      <c r="B45" s="15" t="s">
        <v>98</v>
      </c>
      <c r="C45" s="14" t="s">
        <v>24</v>
      </c>
      <c r="D45" s="16" t="s">
        <v>99</v>
      </c>
      <c r="E45" s="14" t="s">
        <v>12</v>
      </c>
      <c r="F45" s="17">
        <v>89400</v>
      </c>
      <c r="G45" s="14" t="s">
        <v>22</v>
      </c>
      <c r="H45" s="18"/>
    </row>
    <row r="46" spans="1:8" x14ac:dyDescent="0.2">
      <c r="A46" s="9">
        <v>43</v>
      </c>
      <c r="B46" s="10" t="s">
        <v>100</v>
      </c>
      <c r="C46" s="9" t="s">
        <v>15</v>
      </c>
      <c r="D46" s="11" t="s">
        <v>101</v>
      </c>
      <c r="E46" s="9" t="s">
        <v>12</v>
      </c>
      <c r="F46" s="12">
        <v>88800</v>
      </c>
      <c r="G46" s="9" t="s">
        <v>22</v>
      </c>
      <c r="H46" s="13"/>
    </row>
    <row r="47" spans="1:8" x14ac:dyDescent="0.2">
      <c r="A47" s="14">
        <v>44</v>
      </c>
      <c r="B47" s="15" t="s">
        <v>102</v>
      </c>
      <c r="C47" s="14" t="s">
        <v>10</v>
      </c>
      <c r="D47" s="16" t="s">
        <v>103</v>
      </c>
      <c r="E47" s="14" t="s">
        <v>12</v>
      </c>
      <c r="F47" s="17">
        <v>87900</v>
      </c>
      <c r="G47" s="14" t="s">
        <v>22</v>
      </c>
      <c r="H47" s="18"/>
    </row>
    <row r="48" spans="1:8" x14ac:dyDescent="0.2">
      <c r="A48" s="9">
        <v>45</v>
      </c>
      <c r="B48" s="10" t="s">
        <v>104</v>
      </c>
      <c r="C48" s="9" t="s">
        <v>24</v>
      </c>
      <c r="D48" s="11" t="s">
        <v>105</v>
      </c>
      <c r="E48" s="9" t="s">
        <v>12</v>
      </c>
      <c r="F48" s="12">
        <v>87800</v>
      </c>
      <c r="G48" s="9" t="s">
        <v>22</v>
      </c>
      <c r="H48" s="13"/>
    </row>
    <row r="49" spans="1:8" x14ac:dyDescent="0.2">
      <c r="A49" s="14">
        <v>46</v>
      </c>
      <c r="B49" s="15" t="s">
        <v>106</v>
      </c>
      <c r="C49" s="14" t="s">
        <v>24</v>
      </c>
      <c r="D49" s="16" t="s">
        <v>107</v>
      </c>
      <c r="E49" s="14" t="s">
        <v>17</v>
      </c>
      <c r="F49" s="17">
        <v>86200</v>
      </c>
      <c r="G49" s="14" t="s">
        <v>22</v>
      </c>
      <c r="H49" s="18"/>
    </row>
    <row r="50" spans="1:8" x14ac:dyDescent="0.2">
      <c r="A50" s="9">
        <v>47</v>
      </c>
      <c r="B50" s="10" t="s">
        <v>108</v>
      </c>
      <c r="C50" s="9" t="s">
        <v>10</v>
      </c>
      <c r="D50" s="11" t="s">
        <v>109</v>
      </c>
      <c r="E50" s="9" t="s">
        <v>12</v>
      </c>
      <c r="F50" s="12">
        <v>85100</v>
      </c>
      <c r="G50" s="9" t="s">
        <v>22</v>
      </c>
      <c r="H50" s="13"/>
    </row>
    <row r="51" spans="1:8" x14ac:dyDescent="0.2">
      <c r="A51" s="14">
        <v>48</v>
      </c>
      <c r="B51" s="15" t="s">
        <v>110</v>
      </c>
      <c r="C51" s="14" t="s">
        <v>24</v>
      </c>
      <c r="D51" s="16" t="s">
        <v>111</v>
      </c>
      <c r="E51" s="14" t="s">
        <v>17</v>
      </c>
      <c r="F51" s="17">
        <v>83800</v>
      </c>
      <c r="G51" s="14" t="s">
        <v>22</v>
      </c>
      <c r="H51" s="18"/>
    </row>
    <row r="52" spans="1:8" x14ac:dyDescent="0.2">
      <c r="A52" s="9">
        <v>49</v>
      </c>
      <c r="B52" s="10" t="s">
        <v>112</v>
      </c>
      <c r="C52" s="9" t="s">
        <v>15</v>
      </c>
      <c r="D52" s="11" t="s">
        <v>113</v>
      </c>
      <c r="E52" s="9" t="s">
        <v>12</v>
      </c>
      <c r="F52" s="12">
        <v>83800</v>
      </c>
      <c r="G52" s="9" t="s">
        <v>22</v>
      </c>
      <c r="H52" s="13"/>
    </row>
    <row r="53" spans="1:8" x14ac:dyDescent="0.2">
      <c r="A53" s="14">
        <v>50</v>
      </c>
      <c r="B53" s="15" t="s">
        <v>114</v>
      </c>
      <c r="C53" s="14" t="s">
        <v>10</v>
      </c>
      <c r="D53" s="16" t="s">
        <v>115</v>
      </c>
      <c r="E53" s="14" t="s">
        <v>17</v>
      </c>
      <c r="F53" s="17">
        <v>81700</v>
      </c>
      <c r="G53" s="14" t="s">
        <v>22</v>
      </c>
      <c r="H53" s="18"/>
    </row>
    <row r="54" spans="1:8" x14ac:dyDescent="0.2">
      <c r="A54" s="9">
        <v>51</v>
      </c>
      <c r="B54" s="10" t="s">
        <v>116</v>
      </c>
      <c r="C54" s="9" t="s">
        <v>24</v>
      </c>
      <c r="D54" s="11" t="s">
        <v>117</v>
      </c>
      <c r="E54" s="9" t="s">
        <v>12</v>
      </c>
      <c r="F54" s="12">
        <v>79100</v>
      </c>
      <c r="G54" s="9" t="s">
        <v>22</v>
      </c>
      <c r="H54" s="13"/>
    </row>
    <row r="55" spans="1:8" x14ac:dyDescent="0.2">
      <c r="A55" s="14">
        <v>52</v>
      </c>
      <c r="B55" s="15" t="s">
        <v>118</v>
      </c>
      <c r="C55" s="14" t="s">
        <v>10</v>
      </c>
      <c r="D55" s="16" t="s">
        <v>119</v>
      </c>
      <c r="E55" s="14" t="s">
        <v>12</v>
      </c>
      <c r="F55" s="17">
        <v>78800</v>
      </c>
      <c r="G55" s="14" t="s">
        <v>22</v>
      </c>
      <c r="H55" s="18"/>
    </row>
    <row r="56" spans="1:8" x14ac:dyDescent="0.2">
      <c r="A56" s="9">
        <v>53</v>
      </c>
      <c r="B56" s="10" t="s">
        <v>120</v>
      </c>
      <c r="C56" s="9" t="s">
        <v>24</v>
      </c>
      <c r="D56" s="11" t="s">
        <v>121</v>
      </c>
      <c r="E56" s="9" t="s">
        <v>12</v>
      </c>
      <c r="F56" s="12">
        <v>78400</v>
      </c>
      <c r="G56" s="9" t="s">
        <v>22</v>
      </c>
      <c r="H56" s="13"/>
    </row>
    <row r="57" spans="1:8" x14ac:dyDescent="0.2">
      <c r="A57" s="14">
        <v>54</v>
      </c>
      <c r="B57" s="15" t="s">
        <v>122</v>
      </c>
      <c r="C57" s="14" t="s">
        <v>24</v>
      </c>
      <c r="D57" s="16" t="s">
        <v>123</v>
      </c>
      <c r="E57" s="14" t="s">
        <v>12</v>
      </c>
      <c r="F57" s="17">
        <v>75400</v>
      </c>
      <c r="G57" s="14" t="s">
        <v>22</v>
      </c>
      <c r="H57" s="18"/>
    </row>
    <row r="58" spans="1:8" x14ac:dyDescent="0.2">
      <c r="A58" s="9">
        <v>55</v>
      </c>
      <c r="B58" s="10" t="s">
        <v>124</v>
      </c>
      <c r="C58" s="9" t="s">
        <v>24</v>
      </c>
      <c r="D58" s="11" t="s">
        <v>125</v>
      </c>
      <c r="E58" s="9" t="s">
        <v>12</v>
      </c>
      <c r="F58" s="12">
        <v>75100</v>
      </c>
      <c r="G58" s="9" t="s">
        <v>22</v>
      </c>
      <c r="H58" s="13"/>
    </row>
    <row r="59" spans="1:8" x14ac:dyDescent="0.2">
      <c r="A59" s="14">
        <v>56</v>
      </c>
      <c r="B59" s="15" t="s">
        <v>126</v>
      </c>
      <c r="C59" s="14" t="s">
        <v>24</v>
      </c>
      <c r="D59" s="16" t="s">
        <v>127</v>
      </c>
      <c r="E59" s="14" t="s">
        <v>12</v>
      </c>
      <c r="F59" s="17">
        <v>75000</v>
      </c>
      <c r="G59" s="14" t="s">
        <v>22</v>
      </c>
      <c r="H59" s="18"/>
    </row>
    <row r="60" spans="1:8" x14ac:dyDescent="0.2">
      <c r="A60" s="9">
        <v>57</v>
      </c>
      <c r="B60" s="10" t="s">
        <v>128</v>
      </c>
      <c r="C60" s="9" t="s">
        <v>10</v>
      </c>
      <c r="D60" s="11" t="s">
        <v>129</v>
      </c>
      <c r="E60" s="9" t="s">
        <v>17</v>
      </c>
      <c r="F60" s="12">
        <v>74500</v>
      </c>
      <c r="G60" s="9" t="s">
        <v>22</v>
      </c>
      <c r="H60" s="13"/>
    </row>
    <row r="61" spans="1:8" x14ac:dyDescent="0.2">
      <c r="A61" s="14">
        <v>58</v>
      </c>
      <c r="B61" s="15" t="s">
        <v>130</v>
      </c>
      <c r="C61" s="14" t="s">
        <v>10</v>
      </c>
      <c r="D61" s="16" t="s">
        <v>131</v>
      </c>
      <c r="E61" s="14" t="s">
        <v>12</v>
      </c>
      <c r="F61" s="17">
        <v>69500</v>
      </c>
      <c r="G61" s="14" t="s">
        <v>22</v>
      </c>
      <c r="H61" s="18"/>
    </row>
    <row r="62" spans="1:8" x14ac:dyDescent="0.2">
      <c r="A62" s="9">
        <v>59</v>
      </c>
      <c r="B62" s="10" t="s">
        <v>132</v>
      </c>
      <c r="C62" s="9" t="s">
        <v>24</v>
      </c>
      <c r="D62" s="11" t="s">
        <v>133</v>
      </c>
      <c r="E62" s="9" t="s">
        <v>12</v>
      </c>
      <c r="F62" s="12">
        <v>68600</v>
      </c>
      <c r="G62" s="9" t="s">
        <v>22</v>
      </c>
      <c r="H62" s="13"/>
    </row>
    <row r="63" spans="1:8" x14ac:dyDescent="0.2">
      <c r="A63" s="14">
        <v>60</v>
      </c>
      <c r="B63" s="15" t="s">
        <v>134</v>
      </c>
      <c r="C63" s="14" t="s">
        <v>24</v>
      </c>
      <c r="D63" s="16" t="s">
        <v>135</v>
      </c>
      <c r="E63" s="14" t="s">
        <v>12</v>
      </c>
      <c r="F63" s="17">
        <v>68100</v>
      </c>
      <c r="G63" s="14" t="s">
        <v>22</v>
      </c>
      <c r="H63" s="18"/>
    </row>
    <row r="64" spans="1:8" x14ac:dyDescent="0.2">
      <c r="A64" s="9">
        <v>61</v>
      </c>
      <c r="B64" s="10" t="s">
        <v>136</v>
      </c>
      <c r="C64" s="9" t="s">
        <v>24</v>
      </c>
      <c r="D64" s="11" t="s">
        <v>137</v>
      </c>
      <c r="E64" s="9" t="s">
        <v>12</v>
      </c>
      <c r="F64" s="12">
        <v>67800</v>
      </c>
      <c r="G64" s="9" t="s">
        <v>22</v>
      </c>
      <c r="H64" s="13"/>
    </row>
    <row r="65" spans="1:8" x14ac:dyDescent="0.2">
      <c r="A65" s="14">
        <v>62</v>
      </c>
      <c r="B65" s="15" t="s">
        <v>138</v>
      </c>
      <c r="C65" s="14" t="s">
        <v>24</v>
      </c>
      <c r="D65" s="16" t="s">
        <v>139</v>
      </c>
      <c r="E65" s="14" t="s">
        <v>12</v>
      </c>
      <c r="F65" s="17">
        <v>67800</v>
      </c>
      <c r="G65" s="14" t="s">
        <v>22</v>
      </c>
      <c r="H65" s="18"/>
    </row>
    <row r="66" spans="1:8" x14ac:dyDescent="0.2">
      <c r="A66" s="9">
        <v>63</v>
      </c>
      <c r="B66" s="10" t="s">
        <v>140</v>
      </c>
      <c r="C66" s="9" t="s">
        <v>24</v>
      </c>
      <c r="D66" s="11" t="s">
        <v>141</v>
      </c>
      <c r="E66" s="9" t="s">
        <v>12</v>
      </c>
      <c r="F66" s="12">
        <v>63000</v>
      </c>
      <c r="G66" s="9" t="s">
        <v>22</v>
      </c>
      <c r="H66" s="13"/>
    </row>
    <row r="67" spans="1:8" x14ac:dyDescent="0.2">
      <c r="A67" s="14">
        <v>64</v>
      </c>
      <c r="B67" s="15" t="s">
        <v>142</v>
      </c>
      <c r="C67" s="14" t="s">
        <v>10</v>
      </c>
      <c r="D67" s="16" t="s">
        <v>143</v>
      </c>
      <c r="E67" s="14" t="s">
        <v>12</v>
      </c>
      <c r="F67" s="17">
        <v>62200</v>
      </c>
      <c r="G67" s="14" t="s">
        <v>22</v>
      </c>
      <c r="H67" s="18"/>
    </row>
    <row r="68" spans="1:8" x14ac:dyDescent="0.2">
      <c r="A68" s="9">
        <v>65</v>
      </c>
      <c r="B68" s="10" t="s">
        <v>144</v>
      </c>
      <c r="C68" s="9" t="s">
        <v>10</v>
      </c>
      <c r="D68" s="11" t="s">
        <v>145</v>
      </c>
      <c r="E68" s="9" t="s">
        <v>12</v>
      </c>
      <c r="F68" s="12">
        <v>61600</v>
      </c>
      <c r="G68" s="9" t="s">
        <v>22</v>
      </c>
      <c r="H68" s="13"/>
    </row>
    <row r="69" spans="1:8" x14ac:dyDescent="0.2">
      <c r="A69" s="14">
        <v>66</v>
      </c>
      <c r="B69" s="15" t="s">
        <v>146</v>
      </c>
      <c r="C69" s="14" t="s">
        <v>24</v>
      </c>
      <c r="D69" s="16" t="s">
        <v>147</v>
      </c>
      <c r="E69" s="14" t="s">
        <v>12</v>
      </c>
      <c r="F69" s="17">
        <v>60500</v>
      </c>
      <c r="G69" s="14" t="s">
        <v>22</v>
      </c>
      <c r="H69" s="18"/>
    </row>
    <row r="70" spans="1:8" x14ac:dyDescent="0.2">
      <c r="A70" s="9">
        <v>67</v>
      </c>
      <c r="B70" s="10" t="s">
        <v>148</v>
      </c>
      <c r="C70" s="9" t="s">
        <v>10</v>
      </c>
      <c r="D70" s="11" t="s">
        <v>149</v>
      </c>
      <c r="E70" s="9" t="s">
        <v>12</v>
      </c>
      <c r="F70" s="12">
        <v>60400</v>
      </c>
      <c r="G70" s="9" t="s">
        <v>22</v>
      </c>
      <c r="H70" s="13"/>
    </row>
    <row r="71" spans="1:8" x14ac:dyDescent="0.2">
      <c r="A71" s="14">
        <v>68</v>
      </c>
      <c r="B71" s="15" t="s">
        <v>150</v>
      </c>
      <c r="C71" s="14" t="s">
        <v>10</v>
      </c>
      <c r="D71" s="16" t="s">
        <v>151</v>
      </c>
      <c r="E71" s="14" t="s">
        <v>12</v>
      </c>
      <c r="F71" s="17">
        <v>57300</v>
      </c>
      <c r="G71" s="14" t="s">
        <v>22</v>
      </c>
      <c r="H71" s="18"/>
    </row>
    <row r="72" spans="1:8" x14ac:dyDescent="0.2">
      <c r="A72" s="9">
        <v>69</v>
      </c>
      <c r="B72" s="10" t="s">
        <v>152</v>
      </c>
      <c r="C72" s="9" t="s">
        <v>24</v>
      </c>
      <c r="D72" s="11" t="s">
        <v>153</v>
      </c>
      <c r="E72" s="9" t="s">
        <v>17</v>
      </c>
      <c r="F72" s="12">
        <v>57000</v>
      </c>
      <c r="G72" s="9" t="s">
        <v>22</v>
      </c>
      <c r="H72" s="13"/>
    </row>
    <row r="73" spans="1:8" x14ac:dyDescent="0.2">
      <c r="A73" s="14">
        <v>70</v>
      </c>
      <c r="B73" s="15" t="s">
        <v>154</v>
      </c>
      <c r="C73" s="14" t="s">
        <v>24</v>
      </c>
      <c r="D73" s="16" t="s">
        <v>155</v>
      </c>
      <c r="E73" s="14" t="s">
        <v>12</v>
      </c>
      <c r="F73" s="17">
        <v>56600</v>
      </c>
      <c r="G73" s="14" t="s">
        <v>22</v>
      </c>
      <c r="H73" s="18"/>
    </row>
    <row r="74" spans="1:8" x14ac:dyDescent="0.2">
      <c r="A74" s="9">
        <v>71</v>
      </c>
      <c r="B74" s="10" t="s">
        <v>156</v>
      </c>
      <c r="C74" s="9" t="s">
        <v>24</v>
      </c>
      <c r="D74" s="11" t="s">
        <v>157</v>
      </c>
      <c r="E74" s="9" t="s">
        <v>12</v>
      </c>
      <c r="F74" s="12">
        <v>54500</v>
      </c>
      <c r="G74" s="9" t="s">
        <v>22</v>
      </c>
      <c r="H74" s="13"/>
    </row>
    <row r="75" spans="1:8" x14ac:dyDescent="0.2">
      <c r="A75" s="14">
        <v>72</v>
      </c>
      <c r="B75" s="15" t="s">
        <v>158</v>
      </c>
      <c r="C75" s="14" t="s">
        <v>10</v>
      </c>
      <c r="D75" s="16" t="s">
        <v>159</v>
      </c>
      <c r="E75" s="14" t="s">
        <v>12</v>
      </c>
      <c r="F75" s="17">
        <v>52800</v>
      </c>
      <c r="G75" s="14" t="s">
        <v>22</v>
      </c>
      <c r="H75" s="18"/>
    </row>
    <row r="76" spans="1:8" x14ac:dyDescent="0.2">
      <c r="A76" s="9">
        <v>73</v>
      </c>
      <c r="B76" s="10" t="s">
        <v>160</v>
      </c>
      <c r="C76" s="9" t="s">
        <v>10</v>
      </c>
      <c r="D76" s="11" t="s">
        <v>161</v>
      </c>
      <c r="E76" s="9" t="s">
        <v>12</v>
      </c>
      <c r="F76" s="12">
        <v>51200</v>
      </c>
      <c r="G76" s="9" t="s">
        <v>22</v>
      </c>
      <c r="H76" s="13"/>
    </row>
    <row r="77" spans="1:8" x14ac:dyDescent="0.2">
      <c r="A77" s="14">
        <v>74</v>
      </c>
      <c r="B77" s="15" t="s">
        <v>162</v>
      </c>
      <c r="C77" s="14" t="s">
        <v>24</v>
      </c>
      <c r="D77" s="16" t="s">
        <v>163</v>
      </c>
      <c r="E77" s="14" t="s">
        <v>12</v>
      </c>
      <c r="F77" s="17">
        <v>49400</v>
      </c>
      <c r="G77" s="14" t="s">
        <v>164</v>
      </c>
      <c r="H77" s="18"/>
    </row>
    <row r="78" spans="1:8" x14ac:dyDescent="0.2">
      <c r="A78" s="9">
        <v>75</v>
      </c>
      <c r="B78" s="10" t="s">
        <v>165</v>
      </c>
      <c r="C78" s="9" t="s">
        <v>10</v>
      </c>
      <c r="D78" s="11" t="s">
        <v>166</v>
      </c>
      <c r="E78" s="9" t="s">
        <v>12</v>
      </c>
      <c r="F78" s="12">
        <v>47900</v>
      </c>
      <c r="G78" s="9" t="s">
        <v>164</v>
      </c>
      <c r="H78" s="13"/>
    </row>
    <row r="79" spans="1:8" x14ac:dyDescent="0.2">
      <c r="A79" s="14">
        <v>76</v>
      </c>
      <c r="B79" s="15" t="s">
        <v>167</v>
      </c>
      <c r="C79" s="14" t="s">
        <v>24</v>
      </c>
      <c r="D79" s="16" t="s">
        <v>168</v>
      </c>
      <c r="E79" s="14" t="s">
        <v>12</v>
      </c>
      <c r="F79" s="17">
        <v>47100</v>
      </c>
      <c r="G79" s="14" t="s">
        <v>164</v>
      </c>
      <c r="H79" s="18"/>
    </row>
    <row r="80" spans="1:8" x14ac:dyDescent="0.2">
      <c r="A80" s="9">
        <v>77</v>
      </c>
      <c r="B80" s="10" t="s">
        <v>169</v>
      </c>
      <c r="C80" s="9" t="s">
        <v>24</v>
      </c>
      <c r="D80" s="11" t="s">
        <v>170</v>
      </c>
      <c r="E80" s="9" t="s">
        <v>17</v>
      </c>
      <c r="F80" s="12">
        <v>46700</v>
      </c>
      <c r="G80" s="9" t="s">
        <v>164</v>
      </c>
      <c r="H80" s="13"/>
    </row>
    <row r="81" spans="1:8" x14ac:dyDescent="0.2">
      <c r="A81" s="14">
        <v>78</v>
      </c>
      <c r="B81" s="15" t="s">
        <v>171</v>
      </c>
      <c r="C81" s="14" t="s">
        <v>24</v>
      </c>
      <c r="D81" s="16" t="s">
        <v>172</v>
      </c>
      <c r="E81" s="14" t="s">
        <v>12</v>
      </c>
      <c r="F81" s="17">
        <v>46600</v>
      </c>
      <c r="G81" s="14" t="s">
        <v>164</v>
      </c>
      <c r="H81" s="18"/>
    </row>
    <row r="82" spans="1:8" x14ac:dyDescent="0.2">
      <c r="A82" s="9">
        <v>79</v>
      </c>
      <c r="B82" s="10" t="s">
        <v>173</v>
      </c>
      <c r="C82" s="9" t="s">
        <v>15</v>
      </c>
      <c r="D82" s="11" t="s">
        <v>174</v>
      </c>
      <c r="E82" s="9" t="s">
        <v>12</v>
      </c>
      <c r="F82" s="12">
        <v>46600</v>
      </c>
      <c r="G82" s="9" t="s">
        <v>164</v>
      </c>
      <c r="H82" s="13"/>
    </row>
    <row r="83" spans="1:8" x14ac:dyDescent="0.2">
      <c r="A83" s="14">
        <v>80</v>
      </c>
      <c r="B83" s="15" t="s">
        <v>175</v>
      </c>
      <c r="C83" s="14" t="s">
        <v>10</v>
      </c>
      <c r="D83" s="16" t="s">
        <v>176</v>
      </c>
      <c r="E83" s="14" t="s">
        <v>12</v>
      </c>
      <c r="F83" s="17">
        <v>44500</v>
      </c>
      <c r="G83" s="14" t="s">
        <v>164</v>
      </c>
      <c r="H83" s="18"/>
    </row>
    <row r="84" spans="1:8" x14ac:dyDescent="0.2">
      <c r="A84" s="9">
        <v>81</v>
      </c>
      <c r="B84" s="10" t="s">
        <v>177</v>
      </c>
      <c r="C84" s="9" t="s">
        <v>10</v>
      </c>
      <c r="D84" s="11" t="s">
        <v>178</v>
      </c>
      <c r="E84" s="9" t="s">
        <v>17</v>
      </c>
      <c r="F84" s="12">
        <v>43900</v>
      </c>
      <c r="G84" s="9" t="s">
        <v>164</v>
      </c>
      <c r="H84" s="13"/>
    </row>
    <row r="85" spans="1:8" x14ac:dyDescent="0.2">
      <c r="A85" s="14">
        <v>82</v>
      </c>
      <c r="B85" s="15" t="s">
        <v>179</v>
      </c>
      <c r="C85" s="14" t="s">
        <v>10</v>
      </c>
      <c r="D85" s="16" t="s">
        <v>180</v>
      </c>
      <c r="E85" s="14" t="s">
        <v>17</v>
      </c>
      <c r="F85" s="17">
        <v>43500</v>
      </c>
      <c r="G85" s="14" t="s">
        <v>164</v>
      </c>
      <c r="H85" s="18"/>
    </row>
    <row r="86" spans="1:8" x14ac:dyDescent="0.2">
      <c r="A86" s="9">
        <v>83</v>
      </c>
      <c r="B86" s="10" t="s">
        <v>181</v>
      </c>
      <c r="C86" s="9" t="s">
        <v>24</v>
      </c>
      <c r="D86" s="11" t="s">
        <v>182</v>
      </c>
      <c r="E86" s="9" t="s">
        <v>12</v>
      </c>
      <c r="F86" s="12">
        <v>41700</v>
      </c>
      <c r="G86" s="9" t="s">
        <v>164</v>
      </c>
      <c r="H86" s="13"/>
    </row>
    <row r="87" spans="1:8" x14ac:dyDescent="0.2">
      <c r="A87" s="14">
        <v>84</v>
      </c>
      <c r="B87" s="15" t="s">
        <v>183</v>
      </c>
      <c r="C87" s="14" t="s">
        <v>24</v>
      </c>
      <c r="D87" s="16" t="s">
        <v>184</v>
      </c>
      <c r="E87" s="14" t="s">
        <v>12</v>
      </c>
      <c r="F87" s="17">
        <v>40900</v>
      </c>
      <c r="G87" s="14" t="s">
        <v>164</v>
      </c>
      <c r="H87" s="18"/>
    </row>
    <row r="88" spans="1:8" x14ac:dyDescent="0.2">
      <c r="A88" s="9">
        <v>85</v>
      </c>
      <c r="B88" s="10" t="s">
        <v>185</v>
      </c>
      <c r="C88" s="9" t="s">
        <v>10</v>
      </c>
      <c r="D88" s="11" t="s">
        <v>186</v>
      </c>
      <c r="E88" s="9" t="s">
        <v>12</v>
      </c>
      <c r="F88" s="12">
        <v>40900</v>
      </c>
      <c r="G88" s="9" t="s">
        <v>164</v>
      </c>
      <c r="H88" s="13"/>
    </row>
    <row r="89" spans="1:8" x14ac:dyDescent="0.2">
      <c r="A89" s="14">
        <v>86</v>
      </c>
      <c r="B89" s="15" t="s">
        <v>187</v>
      </c>
      <c r="C89" s="14" t="s">
        <v>15</v>
      </c>
      <c r="D89" s="16" t="s">
        <v>188</v>
      </c>
      <c r="E89" s="14" t="s">
        <v>12</v>
      </c>
      <c r="F89" s="17">
        <v>40900</v>
      </c>
      <c r="G89" s="14" t="s">
        <v>164</v>
      </c>
      <c r="H89" s="18"/>
    </row>
    <row r="90" spans="1:8" x14ac:dyDescent="0.2">
      <c r="A90" s="9">
        <v>87</v>
      </c>
      <c r="B90" s="10" t="s">
        <v>189</v>
      </c>
      <c r="C90" s="9" t="s">
        <v>10</v>
      </c>
      <c r="D90" s="11" t="s">
        <v>190</v>
      </c>
      <c r="E90" s="9" t="s">
        <v>12</v>
      </c>
      <c r="F90" s="12">
        <v>40000</v>
      </c>
      <c r="G90" s="9" t="s">
        <v>164</v>
      </c>
      <c r="H90" s="13"/>
    </row>
    <row r="91" spans="1:8" x14ac:dyDescent="0.2">
      <c r="A91" s="14">
        <v>88</v>
      </c>
      <c r="B91" s="15" t="s">
        <v>191</v>
      </c>
      <c r="C91" s="14" t="s">
        <v>24</v>
      </c>
      <c r="D91" s="16" t="s">
        <v>192</v>
      </c>
      <c r="E91" s="14" t="s">
        <v>12</v>
      </c>
      <c r="F91" s="17">
        <v>40000</v>
      </c>
      <c r="G91" s="14" t="s">
        <v>164</v>
      </c>
      <c r="H91" s="18"/>
    </row>
    <row r="92" spans="1:8" x14ac:dyDescent="0.2">
      <c r="A92" s="9">
        <v>89</v>
      </c>
      <c r="B92" s="10" t="s">
        <v>193</v>
      </c>
      <c r="C92" s="9" t="s">
        <v>24</v>
      </c>
      <c r="D92" s="11" t="s">
        <v>194</v>
      </c>
      <c r="E92" s="9" t="s">
        <v>12</v>
      </c>
      <c r="F92" s="12">
        <v>38800</v>
      </c>
      <c r="G92" s="9" t="s">
        <v>164</v>
      </c>
      <c r="H92" s="13"/>
    </row>
    <row r="93" spans="1:8" x14ac:dyDescent="0.2">
      <c r="A93" s="14">
        <v>90</v>
      </c>
      <c r="B93" s="15" t="s">
        <v>195</v>
      </c>
      <c r="C93" s="14" t="s">
        <v>10</v>
      </c>
      <c r="D93" s="16" t="s">
        <v>196</v>
      </c>
      <c r="E93" s="14" t="s">
        <v>12</v>
      </c>
      <c r="F93" s="17">
        <v>38200</v>
      </c>
      <c r="G93" s="14" t="s">
        <v>164</v>
      </c>
      <c r="H93" s="18"/>
    </row>
    <row r="94" spans="1:8" x14ac:dyDescent="0.2">
      <c r="A94" s="9">
        <v>91</v>
      </c>
      <c r="B94" s="10" t="s">
        <v>197</v>
      </c>
      <c r="C94" s="9" t="s">
        <v>24</v>
      </c>
      <c r="D94" s="11" t="s">
        <v>198</v>
      </c>
      <c r="E94" s="9" t="s">
        <v>12</v>
      </c>
      <c r="F94" s="12">
        <v>37700</v>
      </c>
      <c r="G94" s="9" t="s">
        <v>164</v>
      </c>
      <c r="H94" s="13"/>
    </row>
    <row r="95" spans="1:8" x14ac:dyDescent="0.2">
      <c r="A95" s="14">
        <v>92</v>
      </c>
      <c r="B95" s="15" t="s">
        <v>199</v>
      </c>
      <c r="C95" s="14" t="s">
        <v>24</v>
      </c>
      <c r="D95" s="16" t="s">
        <v>200</v>
      </c>
      <c r="E95" s="14" t="s">
        <v>17</v>
      </c>
      <c r="F95" s="17">
        <v>37300</v>
      </c>
      <c r="G95" s="14" t="s">
        <v>164</v>
      </c>
      <c r="H95" s="18"/>
    </row>
    <row r="96" spans="1:8" x14ac:dyDescent="0.2">
      <c r="A96" s="9">
        <v>93</v>
      </c>
      <c r="B96" s="10" t="s">
        <v>201</v>
      </c>
      <c r="C96" s="9" t="s">
        <v>24</v>
      </c>
      <c r="D96" s="11" t="s">
        <v>202</v>
      </c>
      <c r="E96" s="9" t="s">
        <v>12</v>
      </c>
      <c r="F96" s="12">
        <v>37000</v>
      </c>
      <c r="G96" s="9" t="s">
        <v>164</v>
      </c>
      <c r="H96" s="13"/>
    </row>
    <row r="97" spans="1:8" x14ac:dyDescent="0.2">
      <c r="A97" s="14">
        <v>94</v>
      </c>
      <c r="B97" s="15" t="s">
        <v>203</v>
      </c>
      <c r="C97" s="14" t="s">
        <v>24</v>
      </c>
      <c r="D97" s="16" t="s">
        <v>204</v>
      </c>
      <c r="E97" s="14" t="s">
        <v>12</v>
      </c>
      <c r="F97" s="17">
        <v>36800</v>
      </c>
      <c r="G97" s="14" t="s">
        <v>164</v>
      </c>
      <c r="H97" s="18"/>
    </row>
    <row r="98" spans="1:8" x14ac:dyDescent="0.2">
      <c r="A98" s="9">
        <v>95</v>
      </c>
      <c r="B98" s="10" t="s">
        <v>205</v>
      </c>
      <c r="C98" s="9" t="s">
        <v>10</v>
      </c>
      <c r="D98" s="11" t="s">
        <v>206</v>
      </c>
      <c r="E98" s="9" t="s">
        <v>12</v>
      </c>
      <c r="F98" s="12">
        <v>32100</v>
      </c>
      <c r="G98" s="9" t="s">
        <v>164</v>
      </c>
      <c r="H98" s="13"/>
    </row>
    <row r="99" spans="1:8" x14ac:dyDescent="0.2">
      <c r="A99" s="14">
        <v>96</v>
      </c>
      <c r="B99" s="15" t="s">
        <v>207</v>
      </c>
      <c r="C99" s="14" t="s">
        <v>15</v>
      </c>
      <c r="D99" s="16" t="s">
        <v>208</v>
      </c>
      <c r="E99" s="14" t="s">
        <v>12</v>
      </c>
      <c r="F99" s="17">
        <v>30900</v>
      </c>
      <c r="G99" s="14" t="s">
        <v>164</v>
      </c>
      <c r="H99" s="18"/>
    </row>
    <row r="100" spans="1:8" x14ac:dyDescent="0.2">
      <c r="A100" s="9">
        <v>97</v>
      </c>
      <c r="B100" s="10" t="s">
        <v>209</v>
      </c>
      <c r="C100" s="9" t="s">
        <v>10</v>
      </c>
      <c r="D100" s="11" t="s">
        <v>210</v>
      </c>
      <c r="E100" s="9" t="s">
        <v>12</v>
      </c>
      <c r="F100" s="12">
        <v>29400</v>
      </c>
      <c r="G100" s="9" t="s">
        <v>164</v>
      </c>
      <c r="H100" s="13"/>
    </row>
    <row r="101" spans="1:8" x14ac:dyDescent="0.2">
      <c r="A101" s="14">
        <v>98</v>
      </c>
      <c r="B101" s="15" t="s">
        <v>211</v>
      </c>
      <c r="C101" s="14" t="s">
        <v>15</v>
      </c>
      <c r="D101" s="16" t="s">
        <v>212</v>
      </c>
      <c r="E101" s="14" t="s">
        <v>12</v>
      </c>
      <c r="F101" s="17">
        <v>29300</v>
      </c>
      <c r="G101" s="14" t="s">
        <v>164</v>
      </c>
      <c r="H101" s="18"/>
    </row>
    <row r="102" spans="1:8" x14ac:dyDescent="0.2">
      <c r="A102" s="9">
        <v>99</v>
      </c>
      <c r="B102" s="10" t="s">
        <v>213</v>
      </c>
      <c r="C102" s="9" t="s">
        <v>24</v>
      </c>
      <c r="D102" s="11" t="s">
        <v>214</v>
      </c>
      <c r="E102" s="9" t="s">
        <v>12</v>
      </c>
      <c r="F102" s="12">
        <v>28900</v>
      </c>
      <c r="G102" s="9" t="s">
        <v>164</v>
      </c>
      <c r="H102" s="13"/>
    </row>
    <row r="103" spans="1:8" x14ac:dyDescent="0.2">
      <c r="A103" s="14">
        <v>100</v>
      </c>
      <c r="B103" s="15" t="s">
        <v>215</v>
      </c>
      <c r="C103" s="14" t="s">
        <v>24</v>
      </c>
      <c r="D103" s="16" t="s">
        <v>216</v>
      </c>
      <c r="E103" s="14" t="s">
        <v>12</v>
      </c>
      <c r="F103" s="17">
        <v>28700</v>
      </c>
      <c r="G103" s="14" t="s">
        <v>164</v>
      </c>
      <c r="H103" s="18"/>
    </row>
    <row r="104" spans="1:8" x14ac:dyDescent="0.2">
      <c r="A104" s="9">
        <v>101</v>
      </c>
      <c r="B104" s="10" t="s">
        <v>217</v>
      </c>
      <c r="C104" s="9" t="s">
        <v>24</v>
      </c>
      <c r="D104" s="11" t="s">
        <v>218</v>
      </c>
      <c r="E104" s="9" t="s">
        <v>12</v>
      </c>
      <c r="F104" s="12">
        <v>27700</v>
      </c>
      <c r="G104" s="9" t="s">
        <v>164</v>
      </c>
      <c r="H104" s="13"/>
    </row>
    <row r="105" spans="1:8" x14ac:dyDescent="0.2">
      <c r="A105" s="14">
        <v>102</v>
      </c>
      <c r="B105" s="15" t="s">
        <v>219</v>
      </c>
      <c r="C105" s="14" t="s">
        <v>24</v>
      </c>
      <c r="D105" s="16" t="s">
        <v>220</v>
      </c>
      <c r="E105" s="14" t="s">
        <v>12</v>
      </c>
      <c r="F105" s="17">
        <v>27100</v>
      </c>
      <c r="G105" s="14" t="s">
        <v>164</v>
      </c>
      <c r="H105" s="18"/>
    </row>
    <row r="106" spans="1:8" x14ac:dyDescent="0.2">
      <c r="A106" s="9">
        <v>103</v>
      </c>
      <c r="B106" s="10" t="s">
        <v>221</v>
      </c>
      <c r="C106" s="9" t="s">
        <v>10</v>
      </c>
      <c r="D106" s="11" t="s">
        <v>222</v>
      </c>
      <c r="E106" s="9" t="s">
        <v>12</v>
      </c>
      <c r="F106" s="12">
        <v>26100</v>
      </c>
      <c r="G106" s="9" t="s">
        <v>164</v>
      </c>
      <c r="H106" s="13"/>
    </row>
    <row r="107" spans="1:8" x14ac:dyDescent="0.2">
      <c r="A107" s="14">
        <v>104</v>
      </c>
      <c r="B107" s="15" t="s">
        <v>223</v>
      </c>
      <c r="C107" s="14" t="s">
        <v>24</v>
      </c>
      <c r="D107" s="16" t="s">
        <v>224</v>
      </c>
      <c r="E107" s="14" t="s">
        <v>12</v>
      </c>
      <c r="F107" s="17">
        <v>23100</v>
      </c>
      <c r="G107" s="14" t="s">
        <v>164</v>
      </c>
      <c r="H107" s="18"/>
    </row>
    <row r="108" spans="1:8" x14ac:dyDescent="0.2">
      <c r="A108" s="9">
        <v>105</v>
      </c>
      <c r="B108" s="10" t="s">
        <v>225</v>
      </c>
      <c r="C108" s="9" t="s">
        <v>24</v>
      </c>
      <c r="D108" s="11" t="s">
        <v>226</v>
      </c>
      <c r="E108" s="9" t="s">
        <v>12</v>
      </c>
      <c r="F108" s="12">
        <v>22300</v>
      </c>
      <c r="G108" s="9" t="s">
        <v>164</v>
      </c>
      <c r="H108" s="13"/>
    </row>
    <row r="109" spans="1:8" x14ac:dyDescent="0.2">
      <c r="A109" s="14">
        <v>106</v>
      </c>
      <c r="B109" s="15" t="s">
        <v>227</v>
      </c>
      <c r="C109" s="14" t="s">
        <v>24</v>
      </c>
      <c r="D109" s="16" t="s">
        <v>228</v>
      </c>
      <c r="E109" s="14" t="s">
        <v>12</v>
      </c>
      <c r="F109" s="17">
        <v>21200</v>
      </c>
      <c r="G109" s="14" t="s">
        <v>164</v>
      </c>
      <c r="H109" s="18"/>
    </row>
    <row r="110" spans="1:8" x14ac:dyDescent="0.2">
      <c r="A110" s="9">
        <v>107</v>
      </c>
      <c r="B110" s="10" t="s">
        <v>229</v>
      </c>
      <c r="C110" s="9" t="s">
        <v>24</v>
      </c>
      <c r="D110" s="11" t="s">
        <v>230</v>
      </c>
      <c r="E110" s="9" t="s">
        <v>12</v>
      </c>
      <c r="F110" s="12">
        <v>20700</v>
      </c>
      <c r="G110" s="9" t="s">
        <v>164</v>
      </c>
      <c r="H110" s="13"/>
    </row>
    <row r="111" spans="1:8" x14ac:dyDescent="0.2">
      <c r="A111" s="14">
        <v>108</v>
      </c>
      <c r="B111" s="15" t="s">
        <v>231</v>
      </c>
      <c r="C111" s="14" t="s">
        <v>10</v>
      </c>
      <c r="D111" s="16" t="s">
        <v>232</v>
      </c>
      <c r="E111" s="14" t="s">
        <v>12</v>
      </c>
      <c r="F111" s="17">
        <v>20500</v>
      </c>
      <c r="G111" s="14" t="s">
        <v>164</v>
      </c>
      <c r="H111" s="18"/>
    </row>
    <row r="112" spans="1:8" x14ac:dyDescent="0.2">
      <c r="A112" s="9">
        <v>109</v>
      </c>
      <c r="B112" s="10" t="s">
        <v>233</v>
      </c>
      <c r="C112" s="9" t="s">
        <v>24</v>
      </c>
      <c r="D112" s="11" t="s">
        <v>234</v>
      </c>
      <c r="E112" s="9" t="s">
        <v>12</v>
      </c>
      <c r="F112" s="12">
        <v>20300</v>
      </c>
      <c r="G112" s="9" t="s">
        <v>164</v>
      </c>
      <c r="H112" s="13"/>
    </row>
    <row r="113" spans="1:8" x14ac:dyDescent="0.2">
      <c r="A113" s="14">
        <v>110</v>
      </c>
      <c r="B113" s="15" t="s">
        <v>235</v>
      </c>
      <c r="C113" s="14" t="s">
        <v>10</v>
      </c>
      <c r="D113" s="16" t="s">
        <v>236</v>
      </c>
      <c r="E113" s="14" t="s">
        <v>17</v>
      </c>
      <c r="F113" s="17">
        <v>20100</v>
      </c>
      <c r="G113" s="14" t="s">
        <v>164</v>
      </c>
      <c r="H113" s="18"/>
    </row>
    <row r="114" spans="1:8" x14ac:dyDescent="0.2">
      <c r="A114" s="9">
        <v>111</v>
      </c>
      <c r="B114" s="10" t="s">
        <v>237</v>
      </c>
      <c r="C114" s="9" t="s">
        <v>15</v>
      </c>
      <c r="D114" s="11" t="s">
        <v>238</v>
      </c>
      <c r="E114" s="9" t="s">
        <v>12</v>
      </c>
      <c r="F114" s="12">
        <v>19800</v>
      </c>
      <c r="G114" s="9" t="s">
        <v>164</v>
      </c>
      <c r="H114" s="13"/>
    </row>
    <row r="115" spans="1:8" x14ac:dyDescent="0.2">
      <c r="A115" s="14">
        <v>112</v>
      </c>
      <c r="B115" s="15" t="s">
        <v>239</v>
      </c>
      <c r="C115" s="14" t="s">
        <v>24</v>
      </c>
      <c r="D115" s="16" t="s">
        <v>240</v>
      </c>
      <c r="E115" s="14" t="s">
        <v>12</v>
      </c>
      <c r="F115" s="17">
        <v>18900</v>
      </c>
      <c r="G115" s="14" t="s">
        <v>164</v>
      </c>
      <c r="H115" s="18"/>
    </row>
    <row r="116" spans="1:8" x14ac:dyDescent="0.2">
      <c r="A116" s="9">
        <v>113</v>
      </c>
      <c r="B116" s="10" t="s">
        <v>241</v>
      </c>
      <c r="C116" s="9" t="s">
        <v>10</v>
      </c>
      <c r="D116" s="11" t="s">
        <v>242</v>
      </c>
      <c r="E116" s="9" t="s">
        <v>17</v>
      </c>
      <c r="F116" s="12">
        <v>18300</v>
      </c>
      <c r="G116" s="9" t="s">
        <v>164</v>
      </c>
      <c r="H116" s="13"/>
    </row>
    <row r="117" spans="1:8" x14ac:dyDescent="0.2">
      <c r="A117" s="14">
        <v>114</v>
      </c>
      <c r="B117" s="15" t="s">
        <v>243</v>
      </c>
      <c r="C117" s="14" t="s">
        <v>24</v>
      </c>
      <c r="D117" s="16" t="s">
        <v>244</v>
      </c>
      <c r="E117" s="14" t="s">
        <v>17</v>
      </c>
      <c r="F117" s="17">
        <v>18200</v>
      </c>
      <c r="G117" s="14" t="s">
        <v>164</v>
      </c>
      <c r="H117" s="18"/>
    </row>
    <row r="118" spans="1:8" x14ac:dyDescent="0.2">
      <c r="A118" s="9">
        <v>115</v>
      </c>
      <c r="B118" s="10" t="s">
        <v>245</v>
      </c>
      <c r="C118" s="9" t="s">
        <v>24</v>
      </c>
      <c r="D118" s="11" t="s">
        <v>246</v>
      </c>
      <c r="E118" s="9" t="s">
        <v>12</v>
      </c>
      <c r="F118" s="12">
        <v>17800</v>
      </c>
      <c r="G118" s="9" t="s">
        <v>164</v>
      </c>
      <c r="H118" s="13"/>
    </row>
    <row r="119" spans="1:8" x14ac:dyDescent="0.2">
      <c r="A119" s="14">
        <v>116</v>
      </c>
      <c r="B119" s="15" t="s">
        <v>247</v>
      </c>
      <c r="C119" s="14" t="s">
        <v>10</v>
      </c>
      <c r="D119" s="16" t="s">
        <v>248</v>
      </c>
      <c r="E119" s="14" t="s">
        <v>17</v>
      </c>
      <c r="F119" s="17">
        <v>17500</v>
      </c>
      <c r="G119" s="14" t="s">
        <v>164</v>
      </c>
      <c r="H119" s="18"/>
    </row>
    <row r="120" spans="1:8" x14ac:dyDescent="0.2">
      <c r="A120" s="9">
        <v>117</v>
      </c>
      <c r="B120" s="10" t="s">
        <v>249</v>
      </c>
      <c r="C120" s="9" t="s">
        <v>24</v>
      </c>
      <c r="D120" s="11" t="s">
        <v>250</v>
      </c>
      <c r="E120" s="9" t="s">
        <v>12</v>
      </c>
      <c r="F120" s="12">
        <v>17500</v>
      </c>
      <c r="G120" s="9" t="s">
        <v>164</v>
      </c>
      <c r="H120" s="13"/>
    </row>
    <row r="121" spans="1:8" x14ac:dyDescent="0.2">
      <c r="A121" s="14">
        <v>118</v>
      </c>
      <c r="B121" s="15" t="s">
        <v>251</v>
      </c>
      <c r="C121" s="14" t="s">
        <v>24</v>
      </c>
      <c r="D121" s="16" t="s">
        <v>252</v>
      </c>
      <c r="E121" s="14" t="s">
        <v>12</v>
      </c>
      <c r="F121" s="17">
        <v>17300</v>
      </c>
      <c r="G121" s="14" t="s">
        <v>164</v>
      </c>
      <c r="H121" s="18"/>
    </row>
    <row r="122" spans="1:8" x14ac:dyDescent="0.2">
      <c r="A122" s="9">
        <v>119</v>
      </c>
      <c r="B122" s="10" t="s">
        <v>253</v>
      </c>
      <c r="C122" s="9" t="s">
        <v>24</v>
      </c>
      <c r="D122" s="11" t="s">
        <v>254</v>
      </c>
      <c r="E122" s="9" t="s">
        <v>12</v>
      </c>
      <c r="F122" s="12">
        <v>16300</v>
      </c>
      <c r="G122" s="9" t="s">
        <v>164</v>
      </c>
      <c r="H122" s="13"/>
    </row>
    <row r="123" spans="1:8" x14ac:dyDescent="0.2">
      <c r="A123" s="14">
        <v>120</v>
      </c>
      <c r="B123" s="15" t="s">
        <v>255</v>
      </c>
      <c r="C123" s="14" t="s">
        <v>24</v>
      </c>
      <c r="D123" s="16" t="s">
        <v>256</v>
      </c>
      <c r="E123" s="14" t="s">
        <v>12</v>
      </c>
      <c r="F123" s="17">
        <v>16200</v>
      </c>
      <c r="G123" s="14" t="s">
        <v>164</v>
      </c>
      <c r="H123" s="18"/>
    </row>
    <row r="124" spans="1:8" x14ac:dyDescent="0.2">
      <c r="A124" s="9">
        <v>121</v>
      </c>
      <c r="B124" s="10" t="s">
        <v>257</v>
      </c>
      <c r="C124" s="9" t="s">
        <v>24</v>
      </c>
      <c r="D124" s="11" t="s">
        <v>258</v>
      </c>
      <c r="E124" s="9" t="s">
        <v>12</v>
      </c>
      <c r="F124" s="12">
        <v>15200</v>
      </c>
      <c r="G124" s="9" t="s">
        <v>164</v>
      </c>
      <c r="H124" s="13"/>
    </row>
    <row r="125" spans="1:8" x14ac:dyDescent="0.2">
      <c r="A125" s="14">
        <v>122</v>
      </c>
      <c r="B125" s="15" t="s">
        <v>259</v>
      </c>
      <c r="C125" s="14" t="s">
        <v>24</v>
      </c>
      <c r="D125" s="16" t="s">
        <v>260</v>
      </c>
      <c r="E125" s="14" t="s">
        <v>12</v>
      </c>
      <c r="F125" s="17">
        <v>14400</v>
      </c>
      <c r="G125" s="14" t="s">
        <v>164</v>
      </c>
      <c r="H125" s="18"/>
    </row>
    <row r="126" spans="1:8" x14ac:dyDescent="0.2">
      <c r="A126" s="9">
        <v>123</v>
      </c>
      <c r="B126" s="10" t="s">
        <v>261</v>
      </c>
      <c r="C126" s="9" t="s">
        <v>10</v>
      </c>
      <c r="D126" s="11" t="s">
        <v>262</v>
      </c>
      <c r="E126" s="9" t="s">
        <v>17</v>
      </c>
      <c r="F126" s="12">
        <v>13300</v>
      </c>
      <c r="G126" s="9" t="s">
        <v>164</v>
      </c>
      <c r="H126" s="13"/>
    </row>
    <row r="127" spans="1:8" x14ac:dyDescent="0.2">
      <c r="A127" s="14">
        <v>124</v>
      </c>
      <c r="B127" s="15" t="s">
        <v>263</v>
      </c>
      <c r="C127" s="14" t="s">
        <v>10</v>
      </c>
      <c r="D127" s="16" t="s">
        <v>264</v>
      </c>
      <c r="E127" s="14" t="s">
        <v>17</v>
      </c>
      <c r="F127" s="17">
        <v>12800</v>
      </c>
      <c r="G127" s="14" t="s">
        <v>164</v>
      </c>
      <c r="H127" s="18"/>
    </row>
    <row r="128" spans="1:8" x14ac:dyDescent="0.2">
      <c r="A128" s="9">
        <v>125</v>
      </c>
      <c r="B128" s="10" t="s">
        <v>265</v>
      </c>
      <c r="C128" s="9" t="s">
        <v>24</v>
      </c>
      <c r="D128" s="11" t="s">
        <v>266</v>
      </c>
      <c r="E128" s="9" t="s">
        <v>17</v>
      </c>
      <c r="F128" s="12">
        <v>12700</v>
      </c>
      <c r="G128" s="9" t="s">
        <v>164</v>
      </c>
      <c r="H128" s="13"/>
    </row>
    <row r="129" spans="1:8" x14ac:dyDescent="0.2">
      <c r="A129" s="14">
        <v>126</v>
      </c>
      <c r="B129" s="15" t="s">
        <v>267</v>
      </c>
      <c r="C129" s="14" t="s">
        <v>24</v>
      </c>
      <c r="D129" s="16" t="s">
        <v>268</v>
      </c>
      <c r="E129" s="14" t="s">
        <v>12</v>
      </c>
      <c r="F129" s="17">
        <v>12600</v>
      </c>
      <c r="G129" s="14" t="s">
        <v>164</v>
      </c>
      <c r="H129" s="18"/>
    </row>
    <row r="130" spans="1:8" x14ac:dyDescent="0.2">
      <c r="A130" s="9">
        <v>127</v>
      </c>
      <c r="B130" s="10" t="s">
        <v>269</v>
      </c>
      <c r="C130" s="9" t="s">
        <v>10</v>
      </c>
      <c r="D130" s="11" t="s">
        <v>270</v>
      </c>
      <c r="E130" s="9" t="s">
        <v>17</v>
      </c>
      <c r="F130" s="12">
        <v>12200</v>
      </c>
      <c r="G130" s="9" t="s">
        <v>164</v>
      </c>
      <c r="H130" s="13"/>
    </row>
    <row r="131" spans="1:8" x14ac:dyDescent="0.2">
      <c r="A131" s="14">
        <v>128</v>
      </c>
      <c r="B131" s="15" t="s">
        <v>271</v>
      </c>
      <c r="C131" s="14" t="s">
        <v>24</v>
      </c>
      <c r="D131" s="16" t="s">
        <v>272</v>
      </c>
      <c r="E131" s="14" t="s">
        <v>17</v>
      </c>
      <c r="F131" s="17">
        <v>12000</v>
      </c>
      <c r="G131" s="14" t="s">
        <v>164</v>
      </c>
      <c r="H131" s="18"/>
    </row>
    <row r="132" spans="1:8" x14ac:dyDescent="0.2">
      <c r="A132" s="9">
        <v>129</v>
      </c>
      <c r="B132" s="10" t="s">
        <v>273</v>
      </c>
      <c r="C132" s="9" t="s">
        <v>24</v>
      </c>
      <c r="D132" s="11" t="s">
        <v>274</v>
      </c>
      <c r="E132" s="9" t="s">
        <v>17</v>
      </c>
      <c r="F132" s="12">
        <v>11300</v>
      </c>
      <c r="G132" s="9" t="s">
        <v>164</v>
      </c>
      <c r="H132" s="13"/>
    </row>
    <row r="133" spans="1:8" x14ac:dyDescent="0.2">
      <c r="A133" s="14">
        <v>130</v>
      </c>
      <c r="B133" s="15" t="s">
        <v>275</v>
      </c>
      <c r="C133" s="14" t="s">
        <v>24</v>
      </c>
      <c r="D133" s="16" t="s">
        <v>276</v>
      </c>
      <c r="E133" s="14" t="s">
        <v>12</v>
      </c>
      <c r="F133" s="17">
        <v>11300</v>
      </c>
      <c r="G133" s="14" t="s">
        <v>164</v>
      </c>
      <c r="H133" s="18"/>
    </row>
    <row r="134" spans="1:8" x14ac:dyDescent="0.2">
      <c r="A134" s="9">
        <v>131</v>
      </c>
      <c r="B134" s="10" t="s">
        <v>277</v>
      </c>
      <c r="C134" s="9" t="s">
        <v>15</v>
      </c>
      <c r="D134" s="11" t="s">
        <v>278</v>
      </c>
      <c r="E134" s="9" t="s">
        <v>17</v>
      </c>
      <c r="F134" s="12">
        <v>11200</v>
      </c>
      <c r="G134" s="9" t="s">
        <v>164</v>
      </c>
      <c r="H134" s="13"/>
    </row>
    <row r="135" spans="1:8" x14ac:dyDescent="0.2">
      <c r="A135" s="14">
        <v>132</v>
      </c>
      <c r="B135" s="15" t="s">
        <v>279</v>
      </c>
      <c r="C135" s="14" t="s">
        <v>24</v>
      </c>
      <c r="D135" s="16" t="s">
        <v>280</v>
      </c>
      <c r="E135" s="14" t="s">
        <v>12</v>
      </c>
      <c r="F135" s="17">
        <v>10800</v>
      </c>
      <c r="G135" s="14" t="s">
        <v>164</v>
      </c>
      <c r="H135" s="18"/>
    </row>
    <row r="136" spans="1:8" x14ac:dyDescent="0.2">
      <c r="A136" s="9">
        <v>133</v>
      </c>
      <c r="B136" s="10" t="s">
        <v>281</v>
      </c>
      <c r="C136" s="9" t="s">
        <v>10</v>
      </c>
      <c r="D136" s="11" t="s">
        <v>282</v>
      </c>
      <c r="E136" s="9" t="s">
        <v>17</v>
      </c>
      <c r="F136" s="12">
        <v>10300</v>
      </c>
      <c r="G136" s="9" t="s">
        <v>164</v>
      </c>
      <c r="H136" s="13"/>
    </row>
    <row r="137" spans="1:8" x14ac:dyDescent="0.2">
      <c r="A137" s="14">
        <v>134</v>
      </c>
      <c r="B137" s="15" t="s">
        <v>283</v>
      </c>
      <c r="C137" s="14" t="s">
        <v>24</v>
      </c>
      <c r="D137" s="16" t="s">
        <v>284</v>
      </c>
      <c r="E137" s="14" t="s">
        <v>12</v>
      </c>
      <c r="F137" s="17">
        <v>10200</v>
      </c>
      <c r="G137" s="14" t="s">
        <v>164</v>
      </c>
      <c r="H137" s="18"/>
    </row>
    <row r="138" spans="1:8" x14ac:dyDescent="0.2">
      <c r="A138" s="9">
        <v>135</v>
      </c>
      <c r="B138" s="10" t="s">
        <v>285</v>
      </c>
      <c r="C138" s="9" t="s">
        <v>24</v>
      </c>
      <c r="D138" s="11" t="s">
        <v>286</v>
      </c>
      <c r="E138" s="9" t="s">
        <v>12</v>
      </c>
      <c r="F138" s="12">
        <v>9575</v>
      </c>
      <c r="G138" s="9" t="s">
        <v>287</v>
      </c>
      <c r="H138" s="13"/>
    </row>
    <row r="139" spans="1:8" x14ac:dyDescent="0.2">
      <c r="A139" s="14">
        <v>136</v>
      </c>
      <c r="B139" s="15" t="s">
        <v>288</v>
      </c>
      <c r="C139" s="14" t="s">
        <v>10</v>
      </c>
      <c r="D139" s="16" t="s">
        <v>289</v>
      </c>
      <c r="E139" s="14" t="s">
        <v>17</v>
      </c>
      <c r="F139" s="17">
        <v>9215</v>
      </c>
      <c r="G139" s="14" t="s">
        <v>287</v>
      </c>
      <c r="H139" s="18"/>
    </row>
    <row r="140" spans="1:8" x14ac:dyDescent="0.2">
      <c r="A140" s="9">
        <v>137</v>
      </c>
      <c r="B140" s="10" t="s">
        <v>290</v>
      </c>
      <c r="C140" s="9" t="s">
        <v>24</v>
      </c>
      <c r="D140" s="11" t="s">
        <v>291</v>
      </c>
      <c r="E140" s="9" t="s">
        <v>12</v>
      </c>
      <c r="F140" s="12">
        <v>8826</v>
      </c>
      <c r="G140" s="9" t="s">
        <v>287</v>
      </c>
      <c r="H140" s="13"/>
    </row>
    <row r="141" spans="1:8" x14ac:dyDescent="0.2">
      <c r="A141" s="14">
        <v>138</v>
      </c>
      <c r="B141" s="15" t="s">
        <v>292</v>
      </c>
      <c r="C141" s="14" t="s">
        <v>15</v>
      </c>
      <c r="D141" s="16" t="s">
        <v>293</v>
      </c>
      <c r="E141" s="14" t="s">
        <v>17</v>
      </c>
      <c r="F141" s="17">
        <v>8759</v>
      </c>
      <c r="G141" s="14" t="s">
        <v>287</v>
      </c>
      <c r="H141" s="18"/>
    </row>
    <row r="142" spans="1:8" x14ac:dyDescent="0.2">
      <c r="A142" s="9">
        <v>139</v>
      </c>
      <c r="B142" s="10" t="s">
        <v>294</v>
      </c>
      <c r="C142" s="9" t="s">
        <v>15</v>
      </c>
      <c r="D142" s="11" t="s">
        <v>295</v>
      </c>
      <c r="E142" s="9" t="s">
        <v>12</v>
      </c>
      <c r="F142" s="12">
        <v>7795</v>
      </c>
      <c r="G142" s="9" t="s">
        <v>287</v>
      </c>
      <c r="H142" s="13"/>
    </row>
    <row r="143" spans="1:8" x14ac:dyDescent="0.2">
      <c r="A143" s="14">
        <v>140</v>
      </c>
      <c r="B143" s="15" t="s">
        <v>296</v>
      </c>
      <c r="C143" s="14" t="s">
        <v>24</v>
      </c>
      <c r="D143" s="16" t="s">
        <v>297</v>
      </c>
      <c r="E143" s="14" t="s">
        <v>12</v>
      </c>
      <c r="F143" s="17">
        <v>6143</v>
      </c>
      <c r="G143" s="14" t="s">
        <v>287</v>
      </c>
      <c r="H143" s="18"/>
    </row>
    <row r="144" spans="1:8" x14ac:dyDescent="0.2">
      <c r="A144" s="9">
        <v>141</v>
      </c>
      <c r="B144" s="10" t="s">
        <v>298</v>
      </c>
      <c r="C144" s="9" t="s">
        <v>24</v>
      </c>
      <c r="D144" s="11" t="s">
        <v>299</v>
      </c>
      <c r="E144" s="9" t="s">
        <v>17</v>
      </c>
      <c r="F144" s="12">
        <v>5976</v>
      </c>
      <c r="G144" s="9" t="s">
        <v>287</v>
      </c>
      <c r="H144" s="13"/>
    </row>
    <row r="145" spans="1:8" x14ac:dyDescent="0.2">
      <c r="A145" s="14">
        <v>142</v>
      </c>
      <c r="B145" s="15" t="s">
        <v>300</v>
      </c>
      <c r="C145" s="14" t="s">
        <v>24</v>
      </c>
      <c r="D145" s="16" t="s">
        <v>301</v>
      </c>
      <c r="E145" s="14" t="s">
        <v>12</v>
      </c>
      <c r="F145" s="17">
        <v>5490</v>
      </c>
      <c r="G145" s="14" t="s">
        <v>287</v>
      </c>
      <c r="H145" s="18"/>
    </row>
    <row r="146" spans="1:8" x14ac:dyDescent="0.2">
      <c r="A146" s="9">
        <v>143</v>
      </c>
      <c r="B146" s="10" t="s">
        <v>302</v>
      </c>
      <c r="C146" s="9" t="s">
        <v>15</v>
      </c>
      <c r="D146" s="11" t="s">
        <v>303</v>
      </c>
      <c r="E146" s="9" t="s">
        <v>17</v>
      </c>
      <c r="F146" s="12">
        <v>5083</v>
      </c>
      <c r="G146" s="9" t="s">
        <v>287</v>
      </c>
      <c r="H146" s="13"/>
    </row>
    <row r="147" spans="1:8" x14ac:dyDescent="0.2">
      <c r="A147" s="14">
        <v>144</v>
      </c>
      <c r="B147" s="15" t="s">
        <v>304</v>
      </c>
      <c r="C147" s="14" t="s">
        <v>24</v>
      </c>
      <c r="D147" s="16" t="s">
        <v>305</v>
      </c>
      <c r="E147" s="14" t="s">
        <v>12</v>
      </c>
      <c r="F147" s="17">
        <v>5000</v>
      </c>
      <c r="G147" s="14" t="s">
        <v>287</v>
      </c>
      <c r="H147" s="18"/>
    </row>
    <row r="148" spans="1:8" x14ac:dyDescent="0.2">
      <c r="A148" s="9">
        <v>145</v>
      </c>
      <c r="B148" s="10" t="s">
        <v>306</v>
      </c>
      <c r="C148" s="9" t="s">
        <v>15</v>
      </c>
      <c r="D148" s="11" t="s">
        <v>307</v>
      </c>
      <c r="E148" s="9" t="s">
        <v>17</v>
      </c>
      <c r="F148" s="12">
        <v>3570</v>
      </c>
      <c r="G148" s="9" t="s">
        <v>287</v>
      </c>
      <c r="H148" s="13"/>
    </row>
    <row r="149" spans="1:8" x14ac:dyDescent="0.2">
      <c r="A149" s="14">
        <v>146</v>
      </c>
      <c r="B149" s="15" t="s">
        <v>308</v>
      </c>
      <c r="C149" s="14" t="s">
        <v>24</v>
      </c>
      <c r="D149" s="16" t="s">
        <v>309</v>
      </c>
      <c r="E149" s="14" t="s">
        <v>12</v>
      </c>
      <c r="F149" s="17">
        <v>3438</v>
      </c>
      <c r="G149" s="14" t="s">
        <v>287</v>
      </c>
      <c r="H149" s="18"/>
    </row>
    <row r="150" spans="1:8" x14ac:dyDescent="0.2">
      <c r="A150" s="9">
        <v>147</v>
      </c>
      <c r="B150" s="10" t="s">
        <v>310</v>
      </c>
      <c r="C150" s="9" t="s">
        <v>24</v>
      </c>
      <c r="D150" s="11" t="s">
        <v>311</v>
      </c>
      <c r="E150" s="9" t="s">
        <v>12</v>
      </c>
      <c r="F150" s="12">
        <v>2980</v>
      </c>
      <c r="G150" s="9" t="s">
        <v>287</v>
      </c>
      <c r="H150" s="13"/>
    </row>
    <row r="151" spans="1:8" x14ac:dyDescent="0.2">
      <c r="A151" s="14">
        <v>148</v>
      </c>
      <c r="B151" s="15" t="s">
        <v>312</v>
      </c>
      <c r="C151" s="14" t="s">
        <v>15</v>
      </c>
      <c r="D151" s="16" t="s">
        <v>313</v>
      </c>
      <c r="E151" s="14" t="s">
        <v>12</v>
      </c>
      <c r="F151" s="17">
        <v>2911</v>
      </c>
      <c r="G151" s="14" t="s">
        <v>287</v>
      </c>
      <c r="H151" s="18"/>
    </row>
    <row r="152" spans="1:8" x14ac:dyDescent="0.2">
      <c r="A152" s="9">
        <v>149</v>
      </c>
      <c r="B152" s="10" t="s">
        <v>314</v>
      </c>
      <c r="C152" s="9" t="s">
        <v>24</v>
      </c>
      <c r="D152" s="11" t="s">
        <v>315</v>
      </c>
      <c r="E152" s="9" t="s">
        <v>12</v>
      </c>
      <c r="F152" s="12">
        <v>2701</v>
      </c>
      <c r="G152" s="9" t="s">
        <v>287</v>
      </c>
      <c r="H152" s="13"/>
    </row>
    <row r="153" spans="1:8" x14ac:dyDescent="0.2">
      <c r="A153" s="14">
        <v>150</v>
      </c>
      <c r="B153" s="15" t="s">
        <v>316</v>
      </c>
      <c r="C153" s="14" t="s">
        <v>24</v>
      </c>
      <c r="D153" s="16" t="s">
        <v>317</v>
      </c>
      <c r="E153" s="14" t="s">
        <v>12</v>
      </c>
      <c r="F153" s="17">
        <v>2315</v>
      </c>
      <c r="G153" s="14" t="s">
        <v>287</v>
      </c>
      <c r="H153" s="18"/>
    </row>
    <row r="154" spans="1:8" x14ac:dyDescent="0.2">
      <c r="A154" s="9">
        <v>151</v>
      </c>
      <c r="B154" s="10" t="s">
        <v>318</v>
      </c>
      <c r="C154" s="9" t="s">
        <v>15</v>
      </c>
      <c r="D154" s="11" t="s">
        <v>319</v>
      </c>
      <c r="E154" s="9" t="s">
        <v>12</v>
      </c>
      <c r="F154" s="12">
        <v>2060</v>
      </c>
      <c r="G154" s="9" t="s">
        <v>287</v>
      </c>
      <c r="H154" s="13"/>
    </row>
    <row r="155" spans="1:8" x14ac:dyDescent="0.2">
      <c r="A155" s="14">
        <v>152</v>
      </c>
      <c r="B155" s="15" t="s">
        <v>320</v>
      </c>
      <c r="C155" s="14" t="s">
        <v>15</v>
      </c>
      <c r="D155" s="16" t="s">
        <v>321</v>
      </c>
      <c r="E155" s="14" t="s">
        <v>17</v>
      </c>
      <c r="F155" s="17">
        <v>1566</v>
      </c>
      <c r="G155" s="14" t="s">
        <v>287</v>
      </c>
      <c r="H155" s="18"/>
    </row>
    <row r="156" spans="1:8" x14ac:dyDescent="0.2">
      <c r="A156" s="9">
        <v>153</v>
      </c>
      <c r="B156" s="10" t="s">
        <v>322</v>
      </c>
      <c r="C156" s="9" t="s">
        <v>15</v>
      </c>
      <c r="D156" s="11" t="s">
        <v>323</v>
      </c>
      <c r="E156" s="9" t="s">
        <v>12</v>
      </c>
      <c r="F156" s="12">
        <v>1508</v>
      </c>
      <c r="G156" s="9" t="s">
        <v>287</v>
      </c>
      <c r="H156" s="13"/>
    </row>
    <row r="157" spans="1:8" x14ac:dyDescent="0.2">
      <c r="A157" s="14">
        <v>154</v>
      </c>
      <c r="B157" s="15" t="s">
        <v>324</v>
      </c>
      <c r="C157" s="14" t="s">
        <v>24</v>
      </c>
      <c r="D157" s="16" t="s">
        <v>325</v>
      </c>
      <c r="E157" s="14" t="s">
        <v>12</v>
      </c>
      <c r="F157" s="17">
        <v>1356</v>
      </c>
      <c r="G157" s="14" t="s">
        <v>287</v>
      </c>
      <c r="H157" s="18"/>
    </row>
    <row r="158" spans="1:8" x14ac:dyDescent="0.2">
      <c r="A158" s="9">
        <v>155</v>
      </c>
      <c r="B158" s="10" t="s">
        <v>326</v>
      </c>
      <c r="C158" s="9" t="s">
        <v>24</v>
      </c>
      <c r="D158" s="11" t="s">
        <v>327</v>
      </c>
      <c r="E158" s="9" t="s">
        <v>12</v>
      </c>
      <c r="F158" s="12">
        <v>1201</v>
      </c>
      <c r="G158" s="9" t="s">
        <v>287</v>
      </c>
      <c r="H158" s="13"/>
    </row>
    <row r="159" spans="1:8" x14ac:dyDescent="0.2">
      <c r="A159" s="14">
        <v>156</v>
      </c>
      <c r="B159" s="15" t="s">
        <v>328</v>
      </c>
      <c r="C159" s="14" t="s">
        <v>24</v>
      </c>
      <c r="D159" s="16" t="s">
        <v>329</v>
      </c>
      <c r="E159" s="14" t="s">
        <v>12</v>
      </c>
      <c r="F159" s="17">
        <v>1102</v>
      </c>
      <c r="G159" s="14" t="s">
        <v>287</v>
      </c>
      <c r="H159" s="18"/>
    </row>
    <row r="160" spans="1:8" x14ac:dyDescent="0.2">
      <c r="A160" s="9">
        <v>157</v>
      </c>
      <c r="B160" s="10" t="s">
        <v>330</v>
      </c>
      <c r="C160" s="9" t="s">
        <v>24</v>
      </c>
      <c r="D160" s="11" t="s">
        <v>331</v>
      </c>
      <c r="E160" s="9" t="s">
        <v>12</v>
      </c>
      <c r="F160" s="12">
        <v>1093</v>
      </c>
      <c r="G160" s="9" t="s">
        <v>287</v>
      </c>
      <c r="H160" s="13"/>
    </row>
    <row r="161" spans="1:8" x14ac:dyDescent="0.2">
      <c r="A161" s="14">
        <v>158</v>
      </c>
      <c r="B161" s="15" t="s">
        <v>332</v>
      </c>
      <c r="C161" s="14" t="s">
        <v>24</v>
      </c>
      <c r="D161" s="16" t="s">
        <v>333</v>
      </c>
      <c r="E161" s="14" t="s">
        <v>12</v>
      </c>
      <c r="F161" s="17">
        <v>1017</v>
      </c>
      <c r="G161" s="14" t="s">
        <v>287</v>
      </c>
      <c r="H161" s="18"/>
    </row>
    <row r="162" spans="1:8" x14ac:dyDescent="0.2">
      <c r="A162" s="9">
        <v>159</v>
      </c>
      <c r="B162" s="10" t="s">
        <v>334</v>
      </c>
      <c r="C162" s="9" t="s">
        <v>24</v>
      </c>
      <c r="D162" s="11" t="s">
        <v>335</v>
      </c>
      <c r="E162" s="9" t="s">
        <v>12</v>
      </c>
      <c r="F162" s="12">
        <v>931</v>
      </c>
      <c r="G162" s="9" t="s">
        <v>287</v>
      </c>
      <c r="H162" s="13"/>
    </row>
    <row r="163" spans="1:8" x14ac:dyDescent="0.2">
      <c r="A163" s="14">
        <v>160</v>
      </c>
      <c r="B163" s="15" t="s">
        <v>336</v>
      </c>
      <c r="C163" s="14" t="s">
        <v>24</v>
      </c>
      <c r="D163" s="16" t="s">
        <v>337</v>
      </c>
      <c r="E163" s="14" t="s">
        <v>12</v>
      </c>
      <c r="F163" s="17">
        <v>907</v>
      </c>
      <c r="G163" s="14" t="s">
        <v>287</v>
      </c>
      <c r="H163" s="18"/>
    </row>
    <row r="164" spans="1:8" x14ac:dyDescent="0.2">
      <c r="A164" s="9">
        <v>161</v>
      </c>
      <c r="B164" s="10" t="s">
        <v>338</v>
      </c>
      <c r="C164" s="9" t="s">
        <v>24</v>
      </c>
      <c r="D164" s="11" t="s">
        <v>339</v>
      </c>
      <c r="E164" s="9" t="s">
        <v>12</v>
      </c>
      <c r="F164" s="12">
        <v>831</v>
      </c>
      <c r="G164" s="9" t="s">
        <v>287</v>
      </c>
      <c r="H164" s="13"/>
    </row>
    <row r="165" spans="1:8" x14ac:dyDescent="0.2">
      <c r="A165" s="14">
        <v>162</v>
      </c>
      <c r="B165" s="15" t="s">
        <v>340</v>
      </c>
      <c r="C165" s="14" t="s">
        <v>24</v>
      </c>
      <c r="D165" s="16" t="s">
        <v>341</v>
      </c>
      <c r="E165" s="14" t="s">
        <v>12</v>
      </c>
      <c r="F165" s="17">
        <v>793</v>
      </c>
      <c r="G165" s="14" t="s">
        <v>287</v>
      </c>
      <c r="H165" s="18"/>
    </row>
  </sheetData>
  <autoFilter ref="A3:H165" xr:uid="{00000000-0009-0000-0000-000000000000}"/>
  <mergeCells count="1">
    <mergeCell ref="A1:H1"/>
  </mergeCells>
  <hyperlinks>
    <hyperlink ref="D4" r:id="rId1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  <hyperlink ref="D8" r:id="rId5" xr:uid="{00000000-0004-0000-0000-000004000000}"/>
    <hyperlink ref="D9" r:id="rId6" xr:uid="{00000000-0004-0000-0000-000005000000}"/>
    <hyperlink ref="D10" r:id="rId7" xr:uid="{00000000-0004-0000-0000-000006000000}"/>
    <hyperlink ref="D11" r:id="rId8" xr:uid="{00000000-0004-0000-0000-000007000000}"/>
    <hyperlink ref="D12" r:id="rId9" xr:uid="{00000000-0004-0000-0000-000008000000}"/>
    <hyperlink ref="D13" r:id="rId10" xr:uid="{00000000-0004-0000-0000-000009000000}"/>
    <hyperlink ref="D14" r:id="rId11" xr:uid="{00000000-0004-0000-0000-00000A000000}"/>
    <hyperlink ref="D15" r:id="rId12" xr:uid="{00000000-0004-0000-0000-00000B000000}"/>
    <hyperlink ref="D16" r:id="rId13" xr:uid="{00000000-0004-0000-0000-00000C000000}"/>
    <hyperlink ref="D17" r:id="rId14" xr:uid="{00000000-0004-0000-0000-00000D000000}"/>
    <hyperlink ref="D18" r:id="rId15" xr:uid="{00000000-0004-0000-0000-00000E000000}"/>
    <hyperlink ref="D19" r:id="rId16" xr:uid="{00000000-0004-0000-0000-00000F000000}"/>
    <hyperlink ref="D20" r:id="rId17" xr:uid="{00000000-0004-0000-0000-000010000000}"/>
    <hyperlink ref="D21" r:id="rId18" xr:uid="{00000000-0004-0000-0000-000011000000}"/>
    <hyperlink ref="D22" r:id="rId19" xr:uid="{00000000-0004-0000-0000-000012000000}"/>
    <hyperlink ref="D23" r:id="rId20" xr:uid="{00000000-0004-0000-0000-000013000000}"/>
    <hyperlink ref="D24" r:id="rId21" xr:uid="{00000000-0004-0000-0000-000014000000}"/>
    <hyperlink ref="D25" r:id="rId22" xr:uid="{00000000-0004-0000-0000-000015000000}"/>
    <hyperlink ref="D26" r:id="rId23" xr:uid="{00000000-0004-0000-0000-000016000000}"/>
    <hyperlink ref="D27" r:id="rId24" xr:uid="{00000000-0004-0000-0000-000017000000}"/>
    <hyperlink ref="D28" r:id="rId25" xr:uid="{00000000-0004-0000-0000-000018000000}"/>
    <hyperlink ref="D29" r:id="rId26" xr:uid="{00000000-0004-0000-0000-000019000000}"/>
    <hyperlink ref="D30" r:id="rId27" xr:uid="{00000000-0004-0000-0000-00001A000000}"/>
    <hyperlink ref="D31" r:id="rId28" xr:uid="{00000000-0004-0000-0000-00001B000000}"/>
    <hyperlink ref="D32" r:id="rId29" xr:uid="{00000000-0004-0000-0000-00001C000000}"/>
    <hyperlink ref="D33" r:id="rId30" xr:uid="{00000000-0004-0000-0000-00001D000000}"/>
    <hyperlink ref="D34" r:id="rId31" xr:uid="{00000000-0004-0000-0000-00001E000000}"/>
    <hyperlink ref="D35" r:id="rId32" xr:uid="{00000000-0004-0000-0000-00001F000000}"/>
    <hyperlink ref="D36" r:id="rId33" xr:uid="{00000000-0004-0000-0000-000020000000}"/>
    <hyperlink ref="D37" r:id="rId34" xr:uid="{00000000-0004-0000-0000-000021000000}"/>
    <hyperlink ref="D38" r:id="rId35" xr:uid="{00000000-0004-0000-0000-000022000000}"/>
    <hyperlink ref="D39" r:id="rId36" xr:uid="{00000000-0004-0000-0000-000023000000}"/>
    <hyperlink ref="D40" r:id="rId37" xr:uid="{00000000-0004-0000-0000-000024000000}"/>
    <hyperlink ref="D41" r:id="rId38" xr:uid="{00000000-0004-0000-0000-000025000000}"/>
    <hyperlink ref="D42" r:id="rId39" xr:uid="{00000000-0004-0000-0000-000026000000}"/>
    <hyperlink ref="D43" r:id="rId40" xr:uid="{00000000-0004-0000-0000-000027000000}"/>
    <hyperlink ref="D44" r:id="rId41" xr:uid="{00000000-0004-0000-0000-000028000000}"/>
    <hyperlink ref="D45" r:id="rId42" xr:uid="{00000000-0004-0000-0000-000029000000}"/>
    <hyperlink ref="D46" r:id="rId43" xr:uid="{00000000-0004-0000-0000-00002A000000}"/>
    <hyperlink ref="D47" r:id="rId44" xr:uid="{00000000-0004-0000-0000-00002B000000}"/>
    <hyperlink ref="D48" r:id="rId45" xr:uid="{00000000-0004-0000-0000-00002C000000}"/>
    <hyperlink ref="D49" r:id="rId46" xr:uid="{00000000-0004-0000-0000-00002D000000}"/>
    <hyperlink ref="D50" r:id="rId47" xr:uid="{00000000-0004-0000-0000-00002E000000}"/>
    <hyperlink ref="D51" r:id="rId48" xr:uid="{00000000-0004-0000-0000-00002F000000}"/>
    <hyperlink ref="D52" r:id="rId49" xr:uid="{00000000-0004-0000-0000-000030000000}"/>
    <hyperlink ref="D53" r:id="rId50" xr:uid="{00000000-0004-0000-0000-000031000000}"/>
    <hyperlink ref="D54" r:id="rId51" xr:uid="{00000000-0004-0000-0000-000032000000}"/>
    <hyperlink ref="D55" r:id="rId52" xr:uid="{00000000-0004-0000-0000-000033000000}"/>
    <hyperlink ref="D56" r:id="rId53" xr:uid="{00000000-0004-0000-0000-000034000000}"/>
    <hyperlink ref="D57" r:id="rId54" xr:uid="{00000000-0004-0000-0000-000035000000}"/>
    <hyperlink ref="D58" r:id="rId55" xr:uid="{00000000-0004-0000-0000-000036000000}"/>
    <hyperlink ref="D59" r:id="rId56" xr:uid="{00000000-0004-0000-0000-000037000000}"/>
    <hyperlink ref="D60" r:id="rId57" xr:uid="{00000000-0004-0000-0000-000038000000}"/>
    <hyperlink ref="D61" r:id="rId58" xr:uid="{00000000-0004-0000-0000-000039000000}"/>
    <hyperlink ref="D62" r:id="rId59" xr:uid="{00000000-0004-0000-0000-00003A000000}"/>
    <hyperlink ref="D63" r:id="rId60" xr:uid="{00000000-0004-0000-0000-00003B000000}"/>
    <hyperlink ref="D64" r:id="rId61" xr:uid="{00000000-0004-0000-0000-00003C000000}"/>
    <hyperlink ref="D65" r:id="rId62" xr:uid="{00000000-0004-0000-0000-00003D000000}"/>
    <hyperlink ref="D66" r:id="rId63" xr:uid="{00000000-0004-0000-0000-00003E000000}"/>
    <hyperlink ref="D67" r:id="rId64" xr:uid="{00000000-0004-0000-0000-00003F000000}"/>
    <hyperlink ref="D68" r:id="rId65" xr:uid="{00000000-0004-0000-0000-000040000000}"/>
    <hyperlink ref="D69" r:id="rId66" xr:uid="{00000000-0004-0000-0000-000041000000}"/>
    <hyperlink ref="D70" r:id="rId67" xr:uid="{00000000-0004-0000-0000-000042000000}"/>
    <hyperlink ref="D71" r:id="rId68" xr:uid="{00000000-0004-0000-0000-000043000000}"/>
    <hyperlink ref="D72" r:id="rId69" xr:uid="{00000000-0004-0000-0000-000044000000}"/>
    <hyperlink ref="D73" r:id="rId70" xr:uid="{00000000-0004-0000-0000-000045000000}"/>
    <hyperlink ref="D74" r:id="rId71" xr:uid="{00000000-0004-0000-0000-000046000000}"/>
    <hyperlink ref="D75" r:id="rId72" xr:uid="{00000000-0004-0000-0000-000047000000}"/>
    <hyperlink ref="D76" r:id="rId73" xr:uid="{00000000-0004-0000-0000-000048000000}"/>
    <hyperlink ref="D77" r:id="rId74" xr:uid="{00000000-0004-0000-0000-000049000000}"/>
    <hyperlink ref="D78" r:id="rId75" xr:uid="{00000000-0004-0000-0000-00004A000000}"/>
    <hyperlink ref="D79" r:id="rId76" xr:uid="{00000000-0004-0000-0000-00004B000000}"/>
    <hyperlink ref="D80" r:id="rId77" xr:uid="{00000000-0004-0000-0000-00004C000000}"/>
    <hyperlink ref="D81" r:id="rId78" xr:uid="{00000000-0004-0000-0000-00004D000000}"/>
    <hyperlink ref="D82" r:id="rId79" xr:uid="{00000000-0004-0000-0000-00004E000000}"/>
    <hyperlink ref="D83" r:id="rId80" xr:uid="{00000000-0004-0000-0000-00004F000000}"/>
    <hyperlink ref="D84" r:id="rId81" xr:uid="{00000000-0004-0000-0000-000050000000}"/>
    <hyperlink ref="D85" r:id="rId82" xr:uid="{00000000-0004-0000-0000-000051000000}"/>
    <hyperlink ref="D86" r:id="rId83" xr:uid="{00000000-0004-0000-0000-000052000000}"/>
    <hyperlink ref="D87" r:id="rId84" xr:uid="{00000000-0004-0000-0000-000053000000}"/>
    <hyperlink ref="D88" r:id="rId85" xr:uid="{00000000-0004-0000-0000-000054000000}"/>
    <hyperlink ref="D89" r:id="rId86" xr:uid="{00000000-0004-0000-0000-000055000000}"/>
    <hyperlink ref="D90" r:id="rId87" xr:uid="{00000000-0004-0000-0000-000056000000}"/>
    <hyperlink ref="D91" r:id="rId88" xr:uid="{00000000-0004-0000-0000-000057000000}"/>
    <hyperlink ref="D92" r:id="rId89" xr:uid="{00000000-0004-0000-0000-000058000000}"/>
    <hyperlink ref="D93" r:id="rId90" xr:uid="{00000000-0004-0000-0000-000059000000}"/>
    <hyperlink ref="D94" r:id="rId91" xr:uid="{00000000-0004-0000-0000-00005A000000}"/>
    <hyperlink ref="D95" r:id="rId92" xr:uid="{00000000-0004-0000-0000-00005B000000}"/>
    <hyperlink ref="D96" r:id="rId93" xr:uid="{00000000-0004-0000-0000-00005C000000}"/>
    <hyperlink ref="D97" r:id="rId94" xr:uid="{00000000-0004-0000-0000-00005D000000}"/>
    <hyperlink ref="D98" r:id="rId95" xr:uid="{00000000-0004-0000-0000-00005E000000}"/>
    <hyperlink ref="D99" r:id="rId96" xr:uid="{00000000-0004-0000-0000-00005F000000}"/>
    <hyperlink ref="D100" r:id="rId97" xr:uid="{00000000-0004-0000-0000-000060000000}"/>
    <hyperlink ref="D101" r:id="rId98" xr:uid="{00000000-0004-0000-0000-000061000000}"/>
    <hyperlink ref="D102" r:id="rId99" xr:uid="{00000000-0004-0000-0000-000062000000}"/>
    <hyperlink ref="D103" r:id="rId100" xr:uid="{00000000-0004-0000-0000-000063000000}"/>
    <hyperlink ref="D104" r:id="rId101" xr:uid="{00000000-0004-0000-0000-000064000000}"/>
    <hyperlink ref="D105" r:id="rId102" xr:uid="{00000000-0004-0000-0000-000065000000}"/>
    <hyperlink ref="D106" r:id="rId103" xr:uid="{00000000-0004-0000-0000-000066000000}"/>
    <hyperlink ref="D107" r:id="rId104" xr:uid="{00000000-0004-0000-0000-000067000000}"/>
    <hyperlink ref="D108" r:id="rId105" xr:uid="{00000000-0004-0000-0000-000068000000}"/>
    <hyperlink ref="D109" r:id="rId106" xr:uid="{00000000-0004-0000-0000-000069000000}"/>
    <hyperlink ref="D110" r:id="rId107" xr:uid="{00000000-0004-0000-0000-00006A000000}"/>
    <hyperlink ref="D111" r:id="rId108" xr:uid="{00000000-0004-0000-0000-00006B000000}"/>
    <hyperlink ref="D112" r:id="rId109" xr:uid="{00000000-0004-0000-0000-00006C000000}"/>
    <hyperlink ref="D113" r:id="rId110" xr:uid="{00000000-0004-0000-0000-00006D000000}"/>
    <hyperlink ref="D114" r:id="rId111" xr:uid="{00000000-0004-0000-0000-00006E000000}"/>
    <hyperlink ref="D115" r:id="rId112" xr:uid="{00000000-0004-0000-0000-00006F000000}"/>
    <hyperlink ref="D116" r:id="rId113" xr:uid="{00000000-0004-0000-0000-000070000000}"/>
    <hyperlink ref="D117" r:id="rId114" xr:uid="{00000000-0004-0000-0000-000071000000}"/>
    <hyperlink ref="D118" r:id="rId115" xr:uid="{00000000-0004-0000-0000-000072000000}"/>
    <hyperlink ref="D119" r:id="rId116" xr:uid="{00000000-0004-0000-0000-000073000000}"/>
    <hyperlink ref="D120" r:id="rId117" xr:uid="{00000000-0004-0000-0000-000074000000}"/>
    <hyperlink ref="D121" r:id="rId118" xr:uid="{00000000-0004-0000-0000-000075000000}"/>
    <hyperlink ref="D122" r:id="rId119" xr:uid="{00000000-0004-0000-0000-000076000000}"/>
    <hyperlink ref="D123" r:id="rId120" xr:uid="{00000000-0004-0000-0000-000077000000}"/>
    <hyperlink ref="D124" r:id="rId121" xr:uid="{00000000-0004-0000-0000-000078000000}"/>
    <hyperlink ref="D125" r:id="rId122" xr:uid="{00000000-0004-0000-0000-000079000000}"/>
    <hyperlink ref="D126" r:id="rId123" xr:uid="{00000000-0004-0000-0000-00007A000000}"/>
    <hyperlink ref="D127" r:id="rId124" xr:uid="{00000000-0004-0000-0000-00007B000000}"/>
    <hyperlink ref="D128" r:id="rId125" xr:uid="{00000000-0004-0000-0000-00007C000000}"/>
    <hyperlink ref="D129" r:id="rId126" xr:uid="{00000000-0004-0000-0000-00007D000000}"/>
    <hyperlink ref="D130" r:id="rId127" xr:uid="{00000000-0004-0000-0000-00007E000000}"/>
    <hyperlink ref="D131" r:id="rId128" xr:uid="{00000000-0004-0000-0000-00007F000000}"/>
    <hyperlink ref="D132" r:id="rId129" xr:uid="{00000000-0004-0000-0000-000080000000}"/>
    <hyperlink ref="D133" r:id="rId130" xr:uid="{00000000-0004-0000-0000-000081000000}"/>
    <hyperlink ref="D134" r:id="rId131" xr:uid="{00000000-0004-0000-0000-000082000000}"/>
    <hyperlink ref="D135" r:id="rId132" xr:uid="{00000000-0004-0000-0000-000083000000}"/>
    <hyperlink ref="D136" r:id="rId133" xr:uid="{00000000-0004-0000-0000-000084000000}"/>
    <hyperlink ref="D137" r:id="rId134" xr:uid="{00000000-0004-0000-0000-000085000000}"/>
    <hyperlink ref="D138" r:id="rId135" xr:uid="{00000000-0004-0000-0000-000086000000}"/>
    <hyperlink ref="D139" r:id="rId136" xr:uid="{00000000-0004-0000-0000-000087000000}"/>
    <hyperlink ref="D140" r:id="rId137" xr:uid="{00000000-0004-0000-0000-000088000000}"/>
    <hyperlink ref="D141" r:id="rId138" xr:uid="{00000000-0004-0000-0000-000089000000}"/>
    <hyperlink ref="D142" r:id="rId139" xr:uid="{00000000-0004-0000-0000-00008A000000}"/>
    <hyperlink ref="D143" r:id="rId140" xr:uid="{00000000-0004-0000-0000-00008B000000}"/>
    <hyperlink ref="D144" r:id="rId141" xr:uid="{00000000-0004-0000-0000-00008C000000}"/>
    <hyperlink ref="D145" r:id="rId142" xr:uid="{00000000-0004-0000-0000-00008D000000}"/>
    <hyperlink ref="D146" r:id="rId143" xr:uid="{00000000-0004-0000-0000-00008E000000}"/>
    <hyperlink ref="D147" r:id="rId144" xr:uid="{00000000-0004-0000-0000-00008F000000}"/>
    <hyperlink ref="D148" r:id="rId145" xr:uid="{00000000-0004-0000-0000-000090000000}"/>
    <hyperlink ref="D149" r:id="rId146" xr:uid="{00000000-0004-0000-0000-000091000000}"/>
    <hyperlink ref="D150" r:id="rId147" xr:uid="{00000000-0004-0000-0000-000092000000}"/>
    <hyperlink ref="D151" r:id="rId148" xr:uid="{00000000-0004-0000-0000-000093000000}"/>
    <hyperlink ref="D152" r:id="rId149" xr:uid="{00000000-0004-0000-0000-000094000000}"/>
    <hyperlink ref="D153" r:id="rId150" xr:uid="{00000000-0004-0000-0000-000095000000}"/>
    <hyperlink ref="D154" r:id="rId151" xr:uid="{00000000-0004-0000-0000-000096000000}"/>
    <hyperlink ref="D155" r:id="rId152" xr:uid="{00000000-0004-0000-0000-000097000000}"/>
    <hyperlink ref="D156" r:id="rId153" xr:uid="{00000000-0004-0000-0000-000098000000}"/>
    <hyperlink ref="D157" r:id="rId154" xr:uid="{00000000-0004-0000-0000-000099000000}"/>
    <hyperlink ref="D158" r:id="rId155" xr:uid="{00000000-0004-0000-0000-00009A000000}"/>
    <hyperlink ref="D159" r:id="rId156" xr:uid="{00000000-0004-0000-0000-00009B000000}"/>
    <hyperlink ref="D160" r:id="rId157" xr:uid="{00000000-0004-0000-0000-00009C000000}"/>
    <hyperlink ref="D161" r:id="rId158" xr:uid="{00000000-0004-0000-0000-00009D000000}"/>
    <hyperlink ref="D162" r:id="rId159" xr:uid="{00000000-0004-0000-0000-00009E000000}"/>
    <hyperlink ref="D163" r:id="rId160" xr:uid="{00000000-0004-0000-0000-00009F000000}"/>
    <hyperlink ref="D164" r:id="rId161" xr:uid="{00000000-0004-0000-0000-0000A0000000}"/>
    <hyperlink ref="D165" r:id="rId162" xr:uid="{00000000-0004-0000-0000-0000A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rightToLeft="1" zoomScaleNormal="100" workbookViewId="0">
      <pane ySplit="19" topLeftCell="A22" activePane="bottomLeft" state="frozen"/>
      <selection pane="bottomLeft" activeCell="C34" sqref="C34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14" customWidth="1"/>
    <col min="4" max="4" width="30" customWidth="1"/>
    <col min="5" max="7" width="15" customWidth="1"/>
    <col min="8" max="8" width="32" customWidth="1"/>
  </cols>
  <sheetData>
    <row r="1" spans="1:8" ht="31.5" customHeight="1" x14ac:dyDescent="0.2">
      <c r="A1" s="7" t="s">
        <v>342</v>
      </c>
      <c r="B1" s="7"/>
      <c r="C1" s="7"/>
      <c r="D1" s="7"/>
      <c r="E1" s="7"/>
      <c r="F1" s="7"/>
      <c r="G1" s="7"/>
      <c r="H1" s="7"/>
    </row>
    <row r="3" spans="1:8" ht="30" customHeight="1" x14ac:dyDescent="0.2">
      <c r="A3" s="6" t="s">
        <v>343</v>
      </c>
      <c r="B3" s="6"/>
      <c r="C3" s="6"/>
      <c r="D3" s="6"/>
      <c r="E3" s="6"/>
      <c r="F3" s="6"/>
      <c r="G3" s="6"/>
      <c r="H3" s="6"/>
    </row>
    <row r="4" spans="1:8" ht="19.5" customHeight="1" x14ac:dyDescent="0.2">
      <c r="A4" s="6"/>
      <c r="B4" s="6"/>
      <c r="C4" s="6"/>
      <c r="D4" s="6"/>
      <c r="E4" s="6"/>
      <c r="F4" s="6"/>
      <c r="G4" s="6"/>
      <c r="H4" s="6"/>
    </row>
    <row r="6" spans="1:8" ht="25.5" customHeight="1" x14ac:dyDescent="0.2">
      <c r="A6" s="5" t="s">
        <v>344</v>
      </c>
      <c r="B6" s="5"/>
      <c r="C6" s="5"/>
      <c r="E6" s="5" t="s">
        <v>345</v>
      </c>
      <c r="F6" s="5"/>
      <c r="G6" s="5"/>
      <c r="H6" s="5"/>
    </row>
    <row r="7" spans="1:8" ht="24" customHeight="1" x14ac:dyDescent="0.2">
      <c r="A7" s="4" t="s">
        <v>346</v>
      </c>
      <c r="B7" s="4"/>
      <c r="C7" s="19">
        <f>COUNTA(B20:B46)</f>
        <v>27</v>
      </c>
      <c r="E7" s="3" t="s">
        <v>347</v>
      </c>
      <c r="F7" s="3"/>
      <c r="G7" s="2">
        <v>435</v>
      </c>
      <c r="H7" s="2"/>
    </row>
    <row r="8" spans="1:8" ht="24" customHeight="1" x14ac:dyDescent="0.2">
      <c r="A8" s="4" t="s">
        <v>348</v>
      </c>
      <c r="B8" s="4"/>
      <c r="C8" s="19">
        <f>COUNTIF(E20:E46,"Instagram")</f>
        <v>21</v>
      </c>
      <c r="E8" s="3"/>
      <c r="F8" s="3"/>
      <c r="G8" s="2"/>
      <c r="H8" s="2"/>
    </row>
    <row r="9" spans="1:8" ht="24" customHeight="1" x14ac:dyDescent="0.2">
      <c r="A9" s="4" t="s">
        <v>349</v>
      </c>
      <c r="B9" s="4"/>
      <c r="C9" s="19">
        <f>COUNTIF(E20:E46,"TikTok")</f>
        <v>6</v>
      </c>
      <c r="E9" s="3"/>
      <c r="F9" s="3"/>
      <c r="G9" s="2"/>
      <c r="H9" s="2"/>
    </row>
    <row r="10" spans="1:8" ht="24" customHeight="1" x14ac:dyDescent="0.2">
      <c r="A10" s="4" t="s">
        <v>350</v>
      </c>
      <c r="B10" s="4"/>
      <c r="C10" s="19">
        <f>COUNTIF(C20:C46,"الرياض")</f>
        <v>25</v>
      </c>
      <c r="E10" s="3" t="s">
        <v>351</v>
      </c>
      <c r="F10" s="3"/>
      <c r="G10" s="2">
        <v>870</v>
      </c>
      <c r="H10" s="2"/>
    </row>
    <row r="11" spans="1:8" ht="24" customHeight="1" x14ac:dyDescent="0.2">
      <c r="A11" s="4" t="s">
        <v>352</v>
      </c>
      <c r="B11" s="4"/>
      <c r="C11" s="19">
        <f>COUNTIF(C20:C46,"جدة")</f>
        <v>2</v>
      </c>
      <c r="E11" s="3"/>
      <c r="F11" s="3"/>
      <c r="G11" s="2"/>
      <c r="H11" s="2"/>
    </row>
    <row r="12" spans="1:8" ht="24" customHeight="1" x14ac:dyDescent="0.2">
      <c r="A12" s="4" t="s">
        <v>353</v>
      </c>
      <c r="B12" s="4"/>
      <c r="C12" s="19">
        <f>COUNTIF(C20:C46,"غير محددة")</f>
        <v>0</v>
      </c>
      <c r="E12" s="3"/>
      <c r="F12" s="3"/>
      <c r="G12" s="2"/>
      <c r="H12" s="2"/>
    </row>
    <row r="13" spans="1:8" ht="24" customHeight="1" x14ac:dyDescent="0.2">
      <c r="A13" s="4" t="s">
        <v>354</v>
      </c>
      <c r="B13" s="4"/>
      <c r="C13" s="19">
        <f>SUM(F20:F46)</f>
        <v>102082</v>
      </c>
    </row>
    <row r="14" spans="1:8" ht="24" customHeight="1" x14ac:dyDescent="0.2">
      <c r="A14" s="4" t="s">
        <v>355</v>
      </c>
      <c r="B14" s="4"/>
      <c r="C14" s="19">
        <f>IFERROR(AVERAGE(F20:F46),0)</f>
        <v>3780.8148148148148</v>
      </c>
      <c r="E14" s="1" t="s">
        <v>356</v>
      </c>
      <c r="F14" s="1"/>
      <c r="G14" s="1"/>
      <c r="H14" s="1"/>
    </row>
    <row r="15" spans="1:8" ht="24" customHeight="1" x14ac:dyDescent="0.2">
      <c r="A15" s="4" t="s">
        <v>357</v>
      </c>
      <c r="B15" s="4"/>
      <c r="C15" s="19">
        <f>IFERROR(MIN(F20:F46),0)</f>
        <v>793</v>
      </c>
    </row>
    <row r="16" spans="1:8" ht="24" customHeight="1" x14ac:dyDescent="0.2">
      <c r="A16" s="4" t="s">
        <v>358</v>
      </c>
      <c r="B16" s="4"/>
      <c r="C16" s="19">
        <f>IFERROR(MAX(F20:F46),0)</f>
        <v>9575</v>
      </c>
    </row>
    <row r="19" spans="1:8" ht="24" customHeight="1" x14ac:dyDescent="0.2">
      <c r="A19" s="8" t="s">
        <v>1</v>
      </c>
      <c r="B19" s="8" t="s">
        <v>2</v>
      </c>
      <c r="C19" s="8" t="s">
        <v>3</v>
      </c>
      <c r="D19" s="8" t="s">
        <v>4</v>
      </c>
      <c r="E19" s="8" t="s">
        <v>5</v>
      </c>
      <c r="F19" s="8" t="s">
        <v>6</v>
      </c>
      <c r="G19" s="8" t="s">
        <v>7</v>
      </c>
      <c r="H19" s="8" t="s">
        <v>8</v>
      </c>
    </row>
    <row r="20" spans="1:8" x14ac:dyDescent="0.2">
      <c r="A20" s="9">
        <v>1</v>
      </c>
      <c r="B20" s="10" t="s">
        <v>285</v>
      </c>
      <c r="C20" s="9" t="s">
        <v>24</v>
      </c>
      <c r="D20" s="11" t="s">
        <v>286</v>
      </c>
      <c r="E20" s="9" t="s">
        <v>12</v>
      </c>
      <c r="F20" s="12">
        <v>9575</v>
      </c>
      <c r="G20" s="9" t="s">
        <v>287</v>
      </c>
      <c r="H20" s="13"/>
    </row>
    <row r="21" spans="1:8" x14ac:dyDescent="0.2">
      <c r="A21" s="14">
        <v>2</v>
      </c>
      <c r="B21" s="15" t="s">
        <v>288</v>
      </c>
      <c r="C21" s="14" t="s">
        <v>10</v>
      </c>
      <c r="D21" s="16" t="s">
        <v>289</v>
      </c>
      <c r="E21" s="14" t="s">
        <v>17</v>
      </c>
      <c r="F21" s="17">
        <v>9215</v>
      </c>
      <c r="G21" s="14" t="s">
        <v>287</v>
      </c>
      <c r="H21" s="18"/>
    </row>
    <row r="22" spans="1:8" x14ac:dyDescent="0.2">
      <c r="A22" s="9">
        <v>3</v>
      </c>
      <c r="B22" s="10" t="s">
        <v>290</v>
      </c>
      <c r="C22" s="9" t="s">
        <v>24</v>
      </c>
      <c r="D22" s="11" t="s">
        <v>291</v>
      </c>
      <c r="E22" s="9" t="s">
        <v>12</v>
      </c>
      <c r="F22" s="12">
        <v>8826</v>
      </c>
      <c r="G22" s="9" t="s">
        <v>287</v>
      </c>
      <c r="H22" s="13"/>
    </row>
    <row r="23" spans="1:8" x14ac:dyDescent="0.2">
      <c r="A23" s="14">
        <v>4</v>
      </c>
      <c r="B23" s="15" t="s">
        <v>292</v>
      </c>
      <c r="C23" s="14" t="s">
        <v>24</v>
      </c>
      <c r="D23" s="16" t="s">
        <v>293</v>
      </c>
      <c r="E23" s="14" t="s">
        <v>17</v>
      </c>
      <c r="F23" s="17">
        <v>8759</v>
      </c>
      <c r="G23" s="14" t="s">
        <v>287</v>
      </c>
      <c r="H23" s="18"/>
    </row>
    <row r="24" spans="1:8" x14ac:dyDescent="0.2">
      <c r="A24" s="9">
        <v>5</v>
      </c>
      <c r="B24" s="10" t="s">
        <v>294</v>
      </c>
      <c r="C24" s="9" t="s">
        <v>24</v>
      </c>
      <c r="D24" s="11" t="s">
        <v>295</v>
      </c>
      <c r="E24" s="9" t="s">
        <v>12</v>
      </c>
      <c r="F24" s="12">
        <v>7795</v>
      </c>
      <c r="G24" s="9" t="s">
        <v>287</v>
      </c>
      <c r="H24" s="13"/>
    </row>
    <row r="25" spans="1:8" x14ac:dyDescent="0.2">
      <c r="A25" s="14">
        <v>6</v>
      </c>
      <c r="B25" s="15" t="s">
        <v>296</v>
      </c>
      <c r="C25" s="14" t="s">
        <v>24</v>
      </c>
      <c r="D25" s="16" t="s">
        <v>297</v>
      </c>
      <c r="E25" s="14" t="s">
        <v>12</v>
      </c>
      <c r="F25" s="17">
        <v>6143</v>
      </c>
      <c r="G25" s="14" t="s">
        <v>287</v>
      </c>
      <c r="H25" s="18"/>
    </row>
    <row r="26" spans="1:8" x14ac:dyDescent="0.2">
      <c r="A26" s="9">
        <v>7</v>
      </c>
      <c r="B26" s="10" t="s">
        <v>298</v>
      </c>
      <c r="C26" s="9" t="s">
        <v>24</v>
      </c>
      <c r="D26" s="11" t="s">
        <v>299</v>
      </c>
      <c r="E26" s="9" t="s">
        <v>17</v>
      </c>
      <c r="F26" s="12">
        <v>5976</v>
      </c>
      <c r="G26" s="9" t="s">
        <v>287</v>
      </c>
      <c r="H26" s="13"/>
    </row>
    <row r="27" spans="1:8" x14ac:dyDescent="0.2">
      <c r="A27" s="14">
        <v>8</v>
      </c>
      <c r="B27" s="15" t="s">
        <v>300</v>
      </c>
      <c r="C27" s="14" t="s">
        <v>24</v>
      </c>
      <c r="D27" s="16" t="s">
        <v>301</v>
      </c>
      <c r="E27" s="14" t="s">
        <v>12</v>
      </c>
      <c r="F27" s="17">
        <v>5490</v>
      </c>
      <c r="G27" s="14" t="s">
        <v>287</v>
      </c>
      <c r="H27" s="18"/>
    </row>
    <row r="28" spans="1:8" x14ac:dyDescent="0.2">
      <c r="A28" s="9">
        <v>9</v>
      </c>
      <c r="B28" s="10" t="s">
        <v>302</v>
      </c>
      <c r="C28" s="9" t="s">
        <v>10</v>
      </c>
      <c r="D28" s="11" t="s">
        <v>303</v>
      </c>
      <c r="E28" s="9" t="s">
        <v>17</v>
      </c>
      <c r="F28" s="12">
        <v>5083</v>
      </c>
      <c r="G28" s="9" t="s">
        <v>287</v>
      </c>
      <c r="H28" s="13"/>
    </row>
    <row r="29" spans="1:8" x14ac:dyDescent="0.2">
      <c r="A29" s="14">
        <v>10</v>
      </c>
      <c r="B29" s="15" t="s">
        <v>304</v>
      </c>
      <c r="C29" s="14" t="s">
        <v>24</v>
      </c>
      <c r="D29" s="16" t="s">
        <v>305</v>
      </c>
      <c r="E29" s="14" t="s">
        <v>12</v>
      </c>
      <c r="F29" s="17">
        <v>5000</v>
      </c>
      <c r="G29" s="14" t="s">
        <v>287</v>
      </c>
      <c r="H29" s="18"/>
    </row>
    <row r="30" spans="1:8" x14ac:dyDescent="0.2">
      <c r="A30" s="9">
        <v>11</v>
      </c>
      <c r="B30" s="10" t="s">
        <v>306</v>
      </c>
      <c r="C30" s="9" t="s">
        <v>24</v>
      </c>
      <c r="D30" s="11" t="s">
        <v>307</v>
      </c>
      <c r="E30" s="9" t="s">
        <v>17</v>
      </c>
      <c r="F30" s="12">
        <v>3570</v>
      </c>
      <c r="G30" s="9" t="s">
        <v>287</v>
      </c>
      <c r="H30" s="13"/>
    </row>
    <row r="31" spans="1:8" x14ac:dyDescent="0.2">
      <c r="A31" s="14">
        <v>12</v>
      </c>
      <c r="B31" s="15" t="s">
        <v>308</v>
      </c>
      <c r="C31" s="14" t="s">
        <v>24</v>
      </c>
      <c r="D31" s="16" t="s">
        <v>309</v>
      </c>
      <c r="E31" s="14" t="s">
        <v>12</v>
      </c>
      <c r="F31" s="17">
        <v>3438</v>
      </c>
      <c r="G31" s="14" t="s">
        <v>287</v>
      </c>
      <c r="H31" s="18"/>
    </row>
    <row r="32" spans="1:8" x14ac:dyDescent="0.2">
      <c r="A32" s="9">
        <v>13</v>
      </c>
      <c r="B32" s="10" t="s">
        <v>310</v>
      </c>
      <c r="C32" s="9" t="s">
        <v>24</v>
      </c>
      <c r="D32" s="11" t="s">
        <v>311</v>
      </c>
      <c r="E32" s="9" t="s">
        <v>12</v>
      </c>
      <c r="F32" s="12">
        <v>2980</v>
      </c>
      <c r="G32" s="9" t="s">
        <v>287</v>
      </c>
      <c r="H32" s="13"/>
    </row>
    <row r="33" spans="1:8" x14ac:dyDescent="0.2">
      <c r="A33" s="14">
        <v>14</v>
      </c>
      <c r="B33" s="15" t="s">
        <v>312</v>
      </c>
      <c r="C33" s="14" t="s">
        <v>24</v>
      </c>
      <c r="D33" s="16" t="s">
        <v>313</v>
      </c>
      <c r="E33" s="14" t="s">
        <v>12</v>
      </c>
      <c r="F33" s="17">
        <v>2911</v>
      </c>
      <c r="G33" s="14" t="s">
        <v>287</v>
      </c>
      <c r="H33" s="18"/>
    </row>
    <row r="34" spans="1:8" x14ac:dyDescent="0.2">
      <c r="A34" s="9">
        <v>15</v>
      </c>
      <c r="B34" s="10" t="s">
        <v>314</v>
      </c>
      <c r="C34" s="9" t="s">
        <v>24</v>
      </c>
      <c r="D34" s="11" t="s">
        <v>315</v>
      </c>
      <c r="E34" s="9" t="s">
        <v>12</v>
      </c>
      <c r="F34" s="12">
        <v>2701</v>
      </c>
      <c r="G34" s="9" t="s">
        <v>287</v>
      </c>
      <c r="H34" s="13"/>
    </row>
    <row r="35" spans="1:8" x14ac:dyDescent="0.2">
      <c r="A35" s="14">
        <v>16</v>
      </c>
      <c r="B35" s="15" t="s">
        <v>316</v>
      </c>
      <c r="C35" s="14" t="s">
        <v>24</v>
      </c>
      <c r="D35" s="16" t="s">
        <v>317</v>
      </c>
      <c r="E35" s="14" t="s">
        <v>12</v>
      </c>
      <c r="F35" s="17">
        <v>2315</v>
      </c>
      <c r="G35" s="14" t="s">
        <v>287</v>
      </c>
      <c r="H35" s="18"/>
    </row>
    <row r="36" spans="1:8" x14ac:dyDescent="0.2">
      <c r="A36" s="14">
        <v>18</v>
      </c>
      <c r="B36" s="15" t="s">
        <v>320</v>
      </c>
      <c r="C36" s="14" t="s">
        <v>24</v>
      </c>
      <c r="D36" s="16" t="s">
        <v>321</v>
      </c>
      <c r="E36" s="14" t="s">
        <v>17</v>
      </c>
      <c r="F36" s="17">
        <v>1566</v>
      </c>
      <c r="G36" s="14" t="s">
        <v>287</v>
      </c>
      <c r="H36" s="18"/>
    </row>
    <row r="37" spans="1:8" x14ac:dyDescent="0.2">
      <c r="A37" s="9">
        <v>19</v>
      </c>
      <c r="B37" s="10" t="s">
        <v>322</v>
      </c>
      <c r="C37" s="9" t="s">
        <v>24</v>
      </c>
      <c r="D37" s="11" t="s">
        <v>323</v>
      </c>
      <c r="E37" s="9" t="s">
        <v>12</v>
      </c>
      <c r="F37" s="12">
        <v>1508</v>
      </c>
      <c r="G37" s="9" t="s">
        <v>287</v>
      </c>
      <c r="H37" s="13"/>
    </row>
    <row r="38" spans="1:8" x14ac:dyDescent="0.2">
      <c r="A38" s="14">
        <v>20</v>
      </c>
      <c r="B38" s="15" t="s">
        <v>324</v>
      </c>
      <c r="C38" s="14" t="s">
        <v>24</v>
      </c>
      <c r="D38" s="16" t="s">
        <v>325</v>
      </c>
      <c r="E38" s="14" t="s">
        <v>12</v>
      </c>
      <c r="F38" s="17">
        <v>1356</v>
      </c>
      <c r="G38" s="14" t="s">
        <v>287</v>
      </c>
      <c r="H38" s="18"/>
    </row>
    <row r="39" spans="1:8" x14ac:dyDescent="0.2">
      <c r="A39" s="9">
        <v>21</v>
      </c>
      <c r="B39" s="10" t="s">
        <v>326</v>
      </c>
      <c r="C39" s="9" t="s">
        <v>24</v>
      </c>
      <c r="D39" s="11" t="s">
        <v>327</v>
      </c>
      <c r="E39" s="9" t="s">
        <v>12</v>
      </c>
      <c r="F39" s="12">
        <v>1201</v>
      </c>
      <c r="G39" s="9" t="s">
        <v>287</v>
      </c>
      <c r="H39" s="13"/>
    </row>
    <row r="40" spans="1:8" x14ac:dyDescent="0.2">
      <c r="A40" s="14">
        <v>22</v>
      </c>
      <c r="B40" s="15" t="s">
        <v>328</v>
      </c>
      <c r="C40" s="14" t="s">
        <v>24</v>
      </c>
      <c r="D40" s="16" t="s">
        <v>329</v>
      </c>
      <c r="E40" s="14" t="s">
        <v>12</v>
      </c>
      <c r="F40" s="17">
        <v>1102</v>
      </c>
      <c r="G40" s="14" t="s">
        <v>287</v>
      </c>
      <c r="H40" s="18"/>
    </row>
    <row r="41" spans="1:8" x14ac:dyDescent="0.2">
      <c r="A41" s="9">
        <v>23</v>
      </c>
      <c r="B41" s="10" t="s">
        <v>330</v>
      </c>
      <c r="C41" s="9" t="s">
        <v>24</v>
      </c>
      <c r="D41" s="11" t="s">
        <v>331</v>
      </c>
      <c r="E41" s="9" t="s">
        <v>12</v>
      </c>
      <c r="F41" s="12">
        <v>1093</v>
      </c>
      <c r="G41" s="9" t="s">
        <v>287</v>
      </c>
      <c r="H41" s="13"/>
    </row>
    <row r="42" spans="1:8" x14ac:dyDescent="0.2">
      <c r="A42" s="14">
        <v>24</v>
      </c>
      <c r="B42" s="15" t="s">
        <v>332</v>
      </c>
      <c r="C42" s="14" t="s">
        <v>24</v>
      </c>
      <c r="D42" s="16" t="s">
        <v>333</v>
      </c>
      <c r="E42" s="14" t="s">
        <v>12</v>
      </c>
      <c r="F42" s="17">
        <v>1017</v>
      </c>
      <c r="G42" s="14" t="s">
        <v>287</v>
      </c>
      <c r="H42" s="18"/>
    </row>
    <row r="43" spans="1:8" x14ac:dyDescent="0.2">
      <c r="A43" s="9">
        <v>25</v>
      </c>
      <c r="B43" s="10" t="s">
        <v>334</v>
      </c>
      <c r="C43" s="9" t="s">
        <v>24</v>
      </c>
      <c r="D43" s="11" t="s">
        <v>335</v>
      </c>
      <c r="E43" s="9" t="s">
        <v>12</v>
      </c>
      <c r="F43" s="12">
        <v>931</v>
      </c>
      <c r="G43" s="9" t="s">
        <v>287</v>
      </c>
      <c r="H43" s="13"/>
    </row>
    <row r="44" spans="1:8" x14ac:dyDescent="0.2">
      <c r="A44" s="14">
        <v>26</v>
      </c>
      <c r="B44" s="15" t="s">
        <v>336</v>
      </c>
      <c r="C44" s="14" t="s">
        <v>24</v>
      </c>
      <c r="D44" s="16" t="s">
        <v>337</v>
      </c>
      <c r="E44" s="14" t="s">
        <v>12</v>
      </c>
      <c r="F44" s="17">
        <v>907</v>
      </c>
      <c r="G44" s="14" t="s">
        <v>287</v>
      </c>
      <c r="H44" s="18"/>
    </row>
    <row r="45" spans="1:8" x14ac:dyDescent="0.2">
      <c r="A45" s="9">
        <v>27</v>
      </c>
      <c r="B45" s="10" t="s">
        <v>338</v>
      </c>
      <c r="C45" s="9" t="s">
        <v>24</v>
      </c>
      <c r="D45" s="11" t="s">
        <v>339</v>
      </c>
      <c r="E45" s="9" t="s">
        <v>12</v>
      </c>
      <c r="F45" s="12">
        <v>831</v>
      </c>
      <c r="G45" s="9" t="s">
        <v>287</v>
      </c>
      <c r="H45" s="13"/>
    </row>
    <row r="46" spans="1:8" x14ac:dyDescent="0.2">
      <c r="A46" s="14">
        <v>28</v>
      </c>
      <c r="B46" s="15" t="s">
        <v>340</v>
      </c>
      <c r="C46" s="14" t="s">
        <v>24</v>
      </c>
      <c r="D46" s="16" t="s">
        <v>341</v>
      </c>
      <c r="E46" s="14" t="s">
        <v>12</v>
      </c>
      <c r="F46" s="17">
        <v>793</v>
      </c>
      <c r="G46" s="14" t="s">
        <v>287</v>
      </c>
      <c r="H46" s="18"/>
    </row>
  </sheetData>
  <autoFilter ref="A19:H46" xr:uid="{00000000-0009-0000-0000-000001000000}"/>
  <mergeCells count="19">
    <mergeCell ref="A13:B13"/>
    <mergeCell ref="A14:B14"/>
    <mergeCell ref="E14:H14"/>
    <mergeCell ref="A15:B15"/>
    <mergeCell ref="A16:B16"/>
    <mergeCell ref="A10:B10"/>
    <mergeCell ref="E10:F12"/>
    <mergeCell ref="G10:H12"/>
    <mergeCell ref="A11:B11"/>
    <mergeCell ref="A12:B12"/>
    <mergeCell ref="A1:H1"/>
    <mergeCell ref="A3:H4"/>
    <mergeCell ref="A6:C6"/>
    <mergeCell ref="E6:H6"/>
    <mergeCell ref="A7:B7"/>
    <mergeCell ref="E7:F9"/>
    <mergeCell ref="G7:H9"/>
    <mergeCell ref="A8:B8"/>
    <mergeCell ref="A9:B9"/>
  </mergeCells>
  <hyperlinks>
    <hyperlink ref="D20" r:id="rId1" xr:uid="{00000000-0004-0000-0100-000000000000}"/>
    <hyperlink ref="D21" r:id="rId2" xr:uid="{00000000-0004-0000-0100-000001000000}"/>
    <hyperlink ref="D22" r:id="rId3" xr:uid="{00000000-0004-0000-0100-000002000000}"/>
    <hyperlink ref="D23" r:id="rId4" xr:uid="{00000000-0004-0000-0100-000003000000}"/>
    <hyperlink ref="D24" r:id="rId5" xr:uid="{00000000-0004-0000-0100-000004000000}"/>
    <hyperlink ref="D25" r:id="rId6" xr:uid="{00000000-0004-0000-0100-000005000000}"/>
    <hyperlink ref="D26" r:id="rId7" xr:uid="{00000000-0004-0000-0100-000006000000}"/>
    <hyperlink ref="D27" r:id="rId8" xr:uid="{00000000-0004-0000-0100-000007000000}"/>
    <hyperlink ref="D28" r:id="rId9" xr:uid="{00000000-0004-0000-0100-000008000000}"/>
    <hyperlink ref="D29" r:id="rId10" xr:uid="{00000000-0004-0000-0100-000009000000}"/>
    <hyperlink ref="D30" r:id="rId11" xr:uid="{00000000-0004-0000-0100-00000A000000}"/>
    <hyperlink ref="D31" r:id="rId12" xr:uid="{00000000-0004-0000-0100-00000B000000}"/>
    <hyperlink ref="D32" r:id="rId13" xr:uid="{00000000-0004-0000-0100-00000C000000}"/>
    <hyperlink ref="D33" r:id="rId14" xr:uid="{00000000-0004-0000-0100-00000D000000}"/>
    <hyperlink ref="D34" r:id="rId15" xr:uid="{00000000-0004-0000-0100-00000E000000}"/>
    <hyperlink ref="D35" r:id="rId16" xr:uid="{00000000-0004-0000-0100-00000F000000}"/>
    <hyperlink ref="D36" r:id="rId17" xr:uid="{00000000-0004-0000-0100-000011000000}"/>
    <hyperlink ref="D37" r:id="rId18" xr:uid="{00000000-0004-0000-0100-000012000000}"/>
    <hyperlink ref="D38" r:id="rId19" xr:uid="{00000000-0004-0000-0100-000013000000}"/>
    <hyperlink ref="D39" r:id="rId20" xr:uid="{00000000-0004-0000-0100-000014000000}"/>
    <hyperlink ref="D40" r:id="rId21" xr:uid="{00000000-0004-0000-0100-000015000000}"/>
    <hyperlink ref="D41" r:id="rId22" xr:uid="{00000000-0004-0000-0100-000016000000}"/>
    <hyperlink ref="D42" r:id="rId23" xr:uid="{00000000-0004-0000-0100-000017000000}"/>
    <hyperlink ref="D43" r:id="rId24" xr:uid="{00000000-0004-0000-0100-000018000000}"/>
    <hyperlink ref="D44" r:id="rId25" xr:uid="{00000000-0004-0000-0100-000019000000}"/>
    <hyperlink ref="D45" r:id="rId26" xr:uid="{00000000-0004-0000-0100-00001A000000}"/>
    <hyperlink ref="D46" r:id="rId27" xr:uid="{00000000-0004-0000-0100-00001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rightToLeft="1" zoomScaleNormal="100" workbookViewId="0">
      <pane ySplit="19" topLeftCell="A35" activePane="bottomLeft" state="frozen"/>
      <selection pane="bottomLeft" activeCell="C45" sqref="C45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14" customWidth="1"/>
    <col min="4" max="4" width="30" customWidth="1"/>
    <col min="5" max="7" width="15" customWidth="1"/>
    <col min="8" max="8" width="32" customWidth="1"/>
  </cols>
  <sheetData>
    <row r="1" spans="1:8" ht="31.5" customHeight="1" x14ac:dyDescent="0.2">
      <c r="A1" s="7" t="s">
        <v>359</v>
      </c>
      <c r="B1" s="7"/>
      <c r="C1" s="7"/>
      <c r="D1" s="7"/>
      <c r="E1" s="7"/>
      <c r="F1" s="7"/>
      <c r="G1" s="7"/>
      <c r="H1" s="7"/>
    </row>
    <row r="3" spans="1:8" ht="30" customHeight="1" x14ac:dyDescent="0.2">
      <c r="A3" s="6" t="s">
        <v>360</v>
      </c>
      <c r="B3" s="6"/>
      <c r="C3" s="6"/>
      <c r="D3" s="6"/>
      <c r="E3" s="6"/>
      <c r="F3" s="6"/>
      <c r="G3" s="6"/>
      <c r="H3" s="6"/>
    </row>
    <row r="4" spans="1:8" ht="19.5" customHeight="1" x14ac:dyDescent="0.2">
      <c r="A4" s="6"/>
      <c r="B4" s="6"/>
      <c r="C4" s="6"/>
      <c r="D4" s="6"/>
      <c r="E4" s="6"/>
      <c r="F4" s="6"/>
      <c r="G4" s="6"/>
      <c r="H4" s="6"/>
    </row>
    <row r="6" spans="1:8" ht="25.5" customHeight="1" x14ac:dyDescent="0.2">
      <c r="A6" s="5" t="s">
        <v>344</v>
      </c>
      <c r="B6" s="5"/>
      <c r="C6" s="5"/>
      <c r="E6" s="5" t="s">
        <v>345</v>
      </c>
      <c r="F6" s="5"/>
      <c r="G6" s="5"/>
      <c r="H6" s="5"/>
    </row>
    <row r="7" spans="1:8" ht="24" customHeight="1" x14ac:dyDescent="0.2">
      <c r="A7" s="4" t="s">
        <v>346</v>
      </c>
      <c r="B7" s="4"/>
      <c r="C7" s="19">
        <f>COUNTA(B20:B80)</f>
        <v>61</v>
      </c>
      <c r="E7" s="3" t="s">
        <v>347</v>
      </c>
      <c r="F7" s="3"/>
      <c r="G7" s="2">
        <v>870</v>
      </c>
      <c r="H7" s="2"/>
    </row>
    <row r="8" spans="1:8" ht="24" customHeight="1" x14ac:dyDescent="0.2">
      <c r="A8" s="4" t="s">
        <v>348</v>
      </c>
      <c r="B8" s="4"/>
      <c r="C8" s="19">
        <f>COUNTIF(E20:E80,"Instagram")</f>
        <v>45</v>
      </c>
      <c r="E8" s="3"/>
      <c r="F8" s="3"/>
      <c r="G8" s="2"/>
      <c r="H8" s="2"/>
    </row>
    <row r="9" spans="1:8" ht="24" customHeight="1" x14ac:dyDescent="0.2">
      <c r="A9" s="4" t="s">
        <v>349</v>
      </c>
      <c r="B9" s="4"/>
      <c r="C9" s="19">
        <f>COUNTIF(E20:E80,"TikTok")</f>
        <v>16</v>
      </c>
      <c r="E9" s="3"/>
      <c r="F9" s="3"/>
      <c r="G9" s="2"/>
      <c r="H9" s="2"/>
    </row>
    <row r="10" spans="1:8" ht="24" customHeight="1" x14ac:dyDescent="0.2">
      <c r="A10" s="4" t="s">
        <v>350</v>
      </c>
      <c r="B10" s="4"/>
      <c r="C10" s="19">
        <f>COUNTIF(C20:C80,"الرياض")</f>
        <v>43</v>
      </c>
      <c r="E10" s="3" t="s">
        <v>351</v>
      </c>
      <c r="F10" s="3"/>
      <c r="G10" s="2">
        <v>1740</v>
      </c>
      <c r="H10" s="2"/>
    </row>
    <row r="11" spans="1:8" ht="24" customHeight="1" x14ac:dyDescent="0.2">
      <c r="A11" s="4" t="s">
        <v>352</v>
      </c>
      <c r="B11" s="4"/>
      <c r="C11" s="19">
        <f>COUNTIF(C20:C80,"جدة")</f>
        <v>18</v>
      </c>
      <c r="E11" s="3"/>
      <c r="F11" s="3"/>
      <c r="G11" s="2"/>
      <c r="H11" s="2"/>
    </row>
    <row r="12" spans="1:8" ht="24" customHeight="1" x14ac:dyDescent="0.2">
      <c r="A12" s="4" t="s">
        <v>353</v>
      </c>
      <c r="B12" s="4"/>
      <c r="C12" s="19">
        <f>COUNTIF(C20:C80,"غير محددة")</f>
        <v>0</v>
      </c>
      <c r="E12" s="3"/>
      <c r="F12" s="3"/>
      <c r="G12" s="2"/>
      <c r="H12" s="2"/>
    </row>
    <row r="13" spans="1:8" ht="24" customHeight="1" x14ac:dyDescent="0.2">
      <c r="A13" s="4" t="s">
        <v>354</v>
      </c>
      <c r="B13" s="4"/>
      <c r="C13" s="19">
        <f>SUM(F20:F80)</f>
        <v>1642900</v>
      </c>
    </row>
    <row r="14" spans="1:8" ht="24" customHeight="1" x14ac:dyDescent="0.2">
      <c r="A14" s="4" t="s">
        <v>355</v>
      </c>
      <c r="B14" s="4"/>
      <c r="C14" s="19">
        <f>IFERROR(AVERAGE(F20:F80),0)</f>
        <v>26932.786885245903</v>
      </c>
      <c r="E14" s="1" t="s">
        <v>356</v>
      </c>
      <c r="F14" s="1"/>
      <c r="G14" s="1"/>
      <c r="H14" s="1"/>
    </row>
    <row r="15" spans="1:8" ht="24" customHeight="1" x14ac:dyDescent="0.2">
      <c r="A15" s="4" t="s">
        <v>357</v>
      </c>
      <c r="B15" s="4"/>
      <c r="C15" s="19">
        <f>IFERROR(MIN(F20:F80),0)</f>
        <v>10200</v>
      </c>
    </row>
    <row r="16" spans="1:8" ht="24" customHeight="1" x14ac:dyDescent="0.2">
      <c r="A16" s="4" t="s">
        <v>358</v>
      </c>
      <c r="B16" s="4"/>
      <c r="C16" s="19">
        <f>IFERROR(MAX(F20:F80),0)</f>
        <v>49400</v>
      </c>
    </row>
    <row r="19" spans="1:8" ht="24" customHeight="1" x14ac:dyDescent="0.2">
      <c r="A19" s="8" t="s">
        <v>1</v>
      </c>
      <c r="B19" s="8" t="s">
        <v>2</v>
      </c>
      <c r="C19" s="8" t="s">
        <v>3</v>
      </c>
      <c r="D19" s="8" t="s">
        <v>4</v>
      </c>
      <c r="E19" s="8" t="s">
        <v>5</v>
      </c>
      <c r="F19" s="8" t="s">
        <v>6</v>
      </c>
      <c r="G19" s="8" t="s">
        <v>7</v>
      </c>
      <c r="H19" s="8" t="s">
        <v>8</v>
      </c>
    </row>
    <row r="20" spans="1:8" x14ac:dyDescent="0.2">
      <c r="A20" s="9">
        <v>1</v>
      </c>
      <c r="B20" s="10" t="s">
        <v>162</v>
      </c>
      <c r="C20" s="9" t="s">
        <v>24</v>
      </c>
      <c r="D20" s="11" t="s">
        <v>163</v>
      </c>
      <c r="E20" s="9" t="s">
        <v>12</v>
      </c>
      <c r="F20" s="12">
        <v>49400</v>
      </c>
      <c r="G20" s="9" t="s">
        <v>164</v>
      </c>
      <c r="H20" s="13"/>
    </row>
    <row r="21" spans="1:8" x14ac:dyDescent="0.2">
      <c r="A21" s="14">
        <v>2</v>
      </c>
      <c r="B21" s="15" t="s">
        <v>165</v>
      </c>
      <c r="C21" s="14" t="s">
        <v>10</v>
      </c>
      <c r="D21" s="16" t="s">
        <v>166</v>
      </c>
      <c r="E21" s="14" t="s">
        <v>12</v>
      </c>
      <c r="F21" s="17">
        <v>47900</v>
      </c>
      <c r="G21" s="14" t="s">
        <v>164</v>
      </c>
      <c r="H21" s="18"/>
    </row>
    <row r="22" spans="1:8" x14ac:dyDescent="0.2">
      <c r="A22" s="9">
        <v>3</v>
      </c>
      <c r="B22" s="10" t="s">
        <v>167</v>
      </c>
      <c r="C22" s="9" t="s">
        <v>24</v>
      </c>
      <c r="D22" s="11" t="s">
        <v>168</v>
      </c>
      <c r="E22" s="9" t="s">
        <v>12</v>
      </c>
      <c r="F22" s="12">
        <v>47100</v>
      </c>
      <c r="G22" s="9" t="s">
        <v>164</v>
      </c>
      <c r="H22" s="13"/>
    </row>
    <row r="23" spans="1:8" x14ac:dyDescent="0.2">
      <c r="A23" s="14">
        <v>4</v>
      </c>
      <c r="B23" s="15" t="s">
        <v>169</v>
      </c>
      <c r="C23" s="14" t="s">
        <v>24</v>
      </c>
      <c r="D23" s="16" t="s">
        <v>170</v>
      </c>
      <c r="E23" s="14" t="s">
        <v>17</v>
      </c>
      <c r="F23" s="17">
        <v>46700</v>
      </c>
      <c r="G23" s="14" t="s">
        <v>164</v>
      </c>
      <c r="H23" s="18"/>
    </row>
    <row r="24" spans="1:8" x14ac:dyDescent="0.2">
      <c r="A24" s="9">
        <v>5</v>
      </c>
      <c r="B24" s="10" t="s">
        <v>171</v>
      </c>
      <c r="C24" s="9" t="s">
        <v>24</v>
      </c>
      <c r="D24" s="11" t="s">
        <v>172</v>
      </c>
      <c r="E24" s="9" t="s">
        <v>12</v>
      </c>
      <c r="F24" s="12">
        <v>46600</v>
      </c>
      <c r="G24" s="9" t="s">
        <v>164</v>
      </c>
      <c r="H24" s="13"/>
    </row>
    <row r="25" spans="1:8" x14ac:dyDescent="0.2">
      <c r="A25" s="14">
        <v>6</v>
      </c>
      <c r="B25" s="15" t="s">
        <v>173</v>
      </c>
      <c r="C25" s="14" t="s">
        <v>24</v>
      </c>
      <c r="D25" s="16" t="s">
        <v>174</v>
      </c>
      <c r="E25" s="14" t="s">
        <v>12</v>
      </c>
      <c r="F25" s="17">
        <v>46600</v>
      </c>
      <c r="G25" s="14" t="s">
        <v>164</v>
      </c>
      <c r="H25" s="18"/>
    </row>
    <row r="26" spans="1:8" x14ac:dyDescent="0.2">
      <c r="A26" s="9">
        <v>7</v>
      </c>
      <c r="B26" s="10" t="s">
        <v>175</v>
      </c>
      <c r="C26" s="9" t="s">
        <v>10</v>
      </c>
      <c r="D26" s="11" t="s">
        <v>176</v>
      </c>
      <c r="E26" s="9" t="s">
        <v>12</v>
      </c>
      <c r="F26" s="12">
        <v>44500</v>
      </c>
      <c r="G26" s="9" t="s">
        <v>164</v>
      </c>
      <c r="H26" s="13"/>
    </row>
    <row r="27" spans="1:8" x14ac:dyDescent="0.2">
      <c r="A27" s="14">
        <v>8</v>
      </c>
      <c r="B27" s="15" t="s">
        <v>177</v>
      </c>
      <c r="C27" s="14" t="s">
        <v>10</v>
      </c>
      <c r="D27" s="16" t="s">
        <v>178</v>
      </c>
      <c r="E27" s="14" t="s">
        <v>17</v>
      </c>
      <c r="F27" s="17">
        <v>43900</v>
      </c>
      <c r="G27" s="14" t="s">
        <v>164</v>
      </c>
      <c r="H27" s="18"/>
    </row>
    <row r="28" spans="1:8" x14ac:dyDescent="0.2">
      <c r="A28" s="9">
        <v>9</v>
      </c>
      <c r="B28" s="10" t="s">
        <v>179</v>
      </c>
      <c r="C28" s="9" t="s">
        <v>10</v>
      </c>
      <c r="D28" s="11" t="s">
        <v>180</v>
      </c>
      <c r="E28" s="9" t="s">
        <v>17</v>
      </c>
      <c r="F28" s="12">
        <v>43500</v>
      </c>
      <c r="G28" s="9" t="s">
        <v>164</v>
      </c>
      <c r="H28" s="13"/>
    </row>
    <row r="29" spans="1:8" x14ac:dyDescent="0.2">
      <c r="A29" s="14">
        <v>10</v>
      </c>
      <c r="B29" s="15" t="s">
        <v>181</v>
      </c>
      <c r="C29" s="14" t="s">
        <v>24</v>
      </c>
      <c r="D29" s="16" t="s">
        <v>182</v>
      </c>
      <c r="E29" s="14" t="s">
        <v>12</v>
      </c>
      <c r="F29" s="17">
        <v>41700</v>
      </c>
      <c r="G29" s="14" t="s">
        <v>164</v>
      </c>
      <c r="H29" s="18"/>
    </row>
    <row r="30" spans="1:8" x14ac:dyDescent="0.2">
      <c r="A30" s="9">
        <v>11</v>
      </c>
      <c r="B30" s="10" t="s">
        <v>183</v>
      </c>
      <c r="C30" s="9" t="s">
        <v>24</v>
      </c>
      <c r="D30" s="11" t="s">
        <v>184</v>
      </c>
      <c r="E30" s="9" t="s">
        <v>12</v>
      </c>
      <c r="F30" s="12">
        <v>40900</v>
      </c>
      <c r="G30" s="9" t="s">
        <v>164</v>
      </c>
      <c r="H30" s="13"/>
    </row>
    <row r="31" spans="1:8" x14ac:dyDescent="0.2">
      <c r="A31" s="14">
        <v>12</v>
      </c>
      <c r="B31" s="15" t="s">
        <v>185</v>
      </c>
      <c r="C31" s="14" t="s">
        <v>10</v>
      </c>
      <c r="D31" s="16" t="s">
        <v>186</v>
      </c>
      <c r="E31" s="14" t="s">
        <v>12</v>
      </c>
      <c r="F31" s="17">
        <v>40900</v>
      </c>
      <c r="G31" s="14" t="s">
        <v>164</v>
      </c>
      <c r="H31" s="18"/>
    </row>
    <row r="32" spans="1:8" x14ac:dyDescent="0.2">
      <c r="A32" s="9">
        <v>13</v>
      </c>
      <c r="B32" s="10" t="s">
        <v>187</v>
      </c>
      <c r="C32" s="9" t="s">
        <v>24</v>
      </c>
      <c r="D32" s="11" t="s">
        <v>188</v>
      </c>
      <c r="E32" s="9" t="s">
        <v>12</v>
      </c>
      <c r="F32" s="12">
        <v>40900</v>
      </c>
      <c r="G32" s="9" t="s">
        <v>164</v>
      </c>
      <c r="H32" s="13"/>
    </row>
    <row r="33" spans="1:8" x14ac:dyDescent="0.2">
      <c r="A33" s="14">
        <v>14</v>
      </c>
      <c r="B33" s="15" t="s">
        <v>189</v>
      </c>
      <c r="C33" s="14" t="s">
        <v>10</v>
      </c>
      <c r="D33" s="16" t="s">
        <v>190</v>
      </c>
      <c r="E33" s="14" t="s">
        <v>12</v>
      </c>
      <c r="F33" s="17">
        <v>40000</v>
      </c>
      <c r="G33" s="14" t="s">
        <v>164</v>
      </c>
      <c r="H33" s="18"/>
    </row>
    <row r="34" spans="1:8" x14ac:dyDescent="0.2">
      <c r="A34" s="9">
        <v>15</v>
      </c>
      <c r="B34" s="10" t="s">
        <v>191</v>
      </c>
      <c r="C34" s="9" t="s">
        <v>24</v>
      </c>
      <c r="D34" s="11" t="s">
        <v>192</v>
      </c>
      <c r="E34" s="9" t="s">
        <v>12</v>
      </c>
      <c r="F34" s="12">
        <v>40000</v>
      </c>
      <c r="G34" s="9" t="s">
        <v>164</v>
      </c>
      <c r="H34" s="13"/>
    </row>
    <row r="35" spans="1:8" x14ac:dyDescent="0.2">
      <c r="A35" s="14">
        <v>16</v>
      </c>
      <c r="B35" s="15" t="s">
        <v>193</v>
      </c>
      <c r="C35" s="14" t="s">
        <v>24</v>
      </c>
      <c r="D35" s="16" t="s">
        <v>194</v>
      </c>
      <c r="E35" s="14" t="s">
        <v>12</v>
      </c>
      <c r="F35" s="17">
        <v>38800</v>
      </c>
      <c r="G35" s="14" t="s">
        <v>164</v>
      </c>
      <c r="H35" s="18"/>
    </row>
    <row r="36" spans="1:8" x14ac:dyDescent="0.2">
      <c r="A36" s="9">
        <v>17</v>
      </c>
      <c r="B36" s="10" t="s">
        <v>195</v>
      </c>
      <c r="C36" s="9" t="s">
        <v>10</v>
      </c>
      <c r="D36" s="11" t="s">
        <v>196</v>
      </c>
      <c r="E36" s="9" t="s">
        <v>12</v>
      </c>
      <c r="F36" s="12">
        <v>38200</v>
      </c>
      <c r="G36" s="9" t="s">
        <v>164</v>
      </c>
      <c r="H36" s="13"/>
    </row>
    <row r="37" spans="1:8" x14ac:dyDescent="0.2">
      <c r="A37" s="14">
        <v>18</v>
      </c>
      <c r="B37" s="15" t="s">
        <v>197</v>
      </c>
      <c r="C37" s="14" t="s">
        <v>24</v>
      </c>
      <c r="D37" s="16" t="s">
        <v>198</v>
      </c>
      <c r="E37" s="14" t="s">
        <v>12</v>
      </c>
      <c r="F37" s="17">
        <v>37700</v>
      </c>
      <c r="G37" s="14" t="s">
        <v>164</v>
      </c>
      <c r="H37" s="18"/>
    </row>
    <row r="38" spans="1:8" x14ac:dyDescent="0.2">
      <c r="A38" s="9">
        <v>19</v>
      </c>
      <c r="B38" s="10" t="s">
        <v>199</v>
      </c>
      <c r="C38" s="9" t="s">
        <v>24</v>
      </c>
      <c r="D38" s="11" t="s">
        <v>200</v>
      </c>
      <c r="E38" s="9" t="s">
        <v>17</v>
      </c>
      <c r="F38" s="12">
        <v>37300</v>
      </c>
      <c r="G38" s="9" t="s">
        <v>164</v>
      </c>
      <c r="H38" s="13"/>
    </row>
    <row r="39" spans="1:8" x14ac:dyDescent="0.2">
      <c r="A39" s="14">
        <v>20</v>
      </c>
      <c r="B39" s="15" t="s">
        <v>201</v>
      </c>
      <c r="C39" s="14" t="s">
        <v>24</v>
      </c>
      <c r="D39" s="16" t="s">
        <v>202</v>
      </c>
      <c r="E39" s="14" t="s">
        <v>12</v>
      </c>
      <c r="F39" s="17">
        <v>37000</v>
      </c>
      <c r="G39" s="14" t="s">
        <v>164</v>
      </c>
      <c r="H39" s="18"/>
    </row>
    <row r="40" spans="1:8" x14ac:dyDescent="0.2">
      <c r="A40" s="9">
        <v>21</v>
      </c>
      <c r="B40" s="10" t="s">
        <v>203</v>
      </c>
      <c r="C40" s="9" t="s">
        <v>24</v>
      </c>
      <c r="D40" s="11" t="s">
        <v>204</v>
      </c>
      <c r="E40" s="9" t="s">
        <v>12</v>
      </c>
      <c r="F40" s="12">
        <v>36800</v>
      </c>
      <c r="G40" s="9" t="s">
        <v>164</v>
      </c>
      <c r="H40" s="13"/>
    </row>
    <row r="41" spans="1:8" x14ac:dyDescent="0.2">
      <c r="A41" s="14">
        <v>22</v>
      </c>
      <c r="B41" s="15" t="s">
        <v>205</v>
      </c>
      <c r="C41" s="14" t="s">
        <v>10</v>
      </c>
      <c r="D41" s="16" t="s">
        <v>206</v>
      </c>
      <c r="E41" s="14" t="s">
        <v>12</v>
      </c>
      <c r="F41" s="17">
        <v>32100</v>
      </c>
      <c r="G41" s="14" t="s">
        <v>164</v>
      </c>
      <c r="H41" s="18"/>
    </row>
    <row r="42" spans="1:8" x14ac:dyDescent="0.2">
      <c r="A42" s="9">
        <v>23</v>
      </c>
      <c r="B42" s="10" t="s">
        <v>207</v>
      </c>
      <c r="C42" s="9" t="s">
        <v>24</v>
      </c>
      <c r="D42" s="11" t="s">
        <v>208</v>
      </c>
      <c r="E42" s="9" t="s">
        <v>12</v>
      </c>
      <c r="F42" s="12">
        <v>30900</v>
      </c>
      <c r="G42" s="9" t="s">
        <v>164</v>
      </c>
      <c r="H42" s="13"/>
    </row>
    <row r="43" spans="1:8" x14ac:dyDescent="0.2">
      <c r="A43" s="14">
        <v>24</v>
      </c>
      <c r="B43" s="15" t="s">
        <v>209</v>
      </c>
      <c r="C43" s="14" t="s">
        <v>10</v>
      </c>
      <c r="D43" s="16" t="s">
        <v>210</v>
      </c>
      <c r="E43" s="14" t="s">
        <v>12</v>
      </c>
      <c r="F43" s="17">
        <v>29400</v>
      </c>
      <c r="G43" s="14" t="s">
        <v>164</v>
      </c>
      <c r="H43" s="18"/>
    </row>
    <row r="44" spans="1:8" x14ac:dyDescent="0.2">
      <c r="A44" s="9">
        <v>25</v>
      </c>
      <c r="B44" s="10" t="s">
        <v>211</v>
      </c>
      <c r="C44" s="9" t="s">
        <v>24</v>
      </c>
      <c r="D44" s="11" t="s">
        <v>212</v>
      </c>
      <c r="E44" s="9" t="s">
        <v>12</v>
      </c>
      <c r="F44" s="12">
        <v>29300</v>
      </c>
      <c r="G44" s="9" t="s">
        <v>164</v>
      </c>
      <c r="H44" s="13"/>
    </row>
    <row r="45" spans="1:8" x14ac:dyDescent="0.2">
      <c r="A45" s="14">
        <v>26</v>
      </c>
      <c r="B45" s="15" t="s">
        <v>213</v>
      </c>
      <c r="C45" s="14" t="s">
        <v>24</v>
      </c>
      <c r="D45" s="16" t="s">
        <v>214</v>
      </c>
      <c r="E45" s="14" t="s">
        <v>12</v>
      </c>
      <c r="F45" s="17">
        <v>28900</v>
      </c>
      <c r="G45" s="14" t="s">
        <v>164</v>
      </c>
      <c r="H45" s="18"/>
    </row>
    <row r="46" spans="1:8" x14ac:dyDescent="0.2">
      <c r="A46" s="9">
        <v>27</v>
      </c>
      <c r="B46" s="10" t="s">
        <v>215</v>
      </c>
      <c r="C46" s="9" t="s">
        <v>24</v>
      </c>
      <c r="D46" s="11" t="s">
        <v>216</v>
      </c>
      <c r="E46" s="9" t="s">
        <v>12</v>
      </c>
      <c r="F46" s="12">
        <v>28700</v>
      </c>
      <c r="G46" s="9" t="s">
        <v>164</v>
      </c>
      <c r="H46" s="13"/>
    </row>
    <row r="47" spans="1:8" x14ac:dyDescent="0.2">
      <c r="A47" s="14">
        <v>28</v>
      </c>
      <c r="B47" s="15" t="s">
        <v>217</v>
      </c>
      <c r="C47" s="14" t="s">
        <v>24</v>
      </c>
      <c r="D47" s="16" t="s">
        <v>218</v>
      </c>
      <c r="E47" s="14" t="s">
        <v>12</v>
      </c>
      <c r="F47" s="17">
        <v>27700</v>
      </c>
      <c r="G47" s="14" t="s">
        <v>164</v>
      </c>
      <c r="H47" s="18"/>
    </row>
    <row r="48" spans="1:8" x14ac:dyDescent="0.2">
      <c r="A48" s="9">
        <v>29</v>
      </c>
      <c r="B48" s="10" t="s">
        <v>219</v>
      </c>
      <c r="C48" s="9" t="s">
        <v>24</v>
      </c>
      <c r="D48" s="11" t="s">
        <v>220</v>
      </c>
      <c r="E48" s="9" t="s">
        <v>12</v>
      </c>
      <c r="F48" s="12">
        <v>27100</v>
      </c>
      <c r="G48" s="9" t="s">
        <v>164</v>
      </c>
      <c r="H48" s="13"/>
    </row>
    <row r="49" spans="1:8" x14ac:dyDescent="0.2">
      <c r="A49" s="14">
        <v>30</v>
      </c>
      <c r="B49" s="15" t="s">
        <v>221</v>
      </c>
      <c r="C49" s="14" t="s">
        <v>10</v>
      </c>
      <c r="D49" s="16" t="s">
        <v>222</v>
      </c>
      <c r="E49" s="14" t="s">
        <v>12</v>
      </c>
      <c r="F49" s="17">
        <v>26100</v>
      </c>
      <c r="G49" s="14" t="s">
        <v>164</v>
      </c>
      <c r="H49" s="18"/>
    </row>
    <row r="50" spans="1:8" x14ac:dyDescent="0.2">
      <c r="A50" s="9">
        <v>31</v>
      </c>
      <c r="B50" s="10" t="s">
        <v>223</v>
      </c>
      <c r="C50" s="9" t="s">
        <v>24</v>
      </c>
      <c r="D50" s="11" t="s">
        <v>224</v>
      </c>
      <c r="E50" s="9" t="s">
        <v>12</v>
      </c>
      <c r="F50" s="12">
        <v>23100</v>
      </c>
      <c r="G50" s="9" t="s">
        <v>164</v>
      </c>
      <c r="H50" s="13"/>
    </row>
    <row r="51" spans="1:8" x14ac:dyDescent="0.2">
      <c r="A51" s="14">
        <v>32</v>
      </c>
      <c r="B51" s="15" t="s">
        <v>225</v>
      </c>
      <c r="C51" s="14" t="s">
        <v>24</v>
      </c>
      <c r="D51" s="16" t="s">
        <v>226</v>
      </c>
      <c r="E51" s="14" t="s">
        <v>12</v>
      </c>
      <c r="F51" s="17">
        <v>22300</v>
      </c>
      <c r="G51" s="14" t="s">
        <v>164</v>
      </c>
      <c r="H51" s="18"/>
    </row>
    <row r="52" spans="1:8" x14ac:dyDescent="0.2">
      <c r="A52" s="9">
        <v>33</v>
      </c>
      <c r="B52" s="10" t="s">
        <v>227</v>
      </c>
      <c r="C52" s="9" t="s">
        <v>24</v>
      </c>
      <c r="D52" s="11" t="s">
        <v>228</v>
      </c>
      <c r="E52" s="9" t="s">
        <v>12</v>
      </c>
      <c r="F52" s="12">
        <v>21200</v>
      </c>
      <c r="G52" s="9" t="s">
        <v>164</v>
      </c>
      <c r="H52" s="13"/>
    </row>
    <row r="53" spans="1:8" x14ac:dyDescent="0.2">
      <c r="A53" s="14">
        <v>34</v>
      </c>
      <c r="B53" s="15" t="s">
        <v>229</v>
      </c>
      <c r="C53" s="14" t="s">
        <v>24</v>
      </c>
      <c r="D53" s="16" t="s">
        <v>230</v>
      </c>
      <c r="E53" s="14" t="s">
        <v>12</v>
      </c>
      <c r="F53" s="17">
        <v>20700</v>
      </c>
      <c r="G53" s="14" t="s">
        <v>164</v>
      </c>
      <c r="H53" s="18"/>
    </row>
    <row r="54" spans="1:8" x14ac:dyDescent="0.2">
      <c r="A54" s="9">
        <v>35</v>
      </c>
      <c r="B54" s="10" t="s">
        <v>231</v>
      </c>
      <c r="C54" s="9" t="s">
        <v>10</v>
      </c>
      <c r="D54" s="11" t="s">
        <v>232</v>
      </c>
      <c r="E54" s="9" t="s">
        <v>12</v>
      </c>
      <c r="F54" s="12">
        <v>20500</v>
      </c>
      <c r="G54" s="9" t="s">
        <v>164</v>
      </c>
      <c r="H54" s="13"/>
    </row>
    <row r="55" spans="1:8" x14ac:dyDescent="0.2">
      <c r="A55" s="14">
        <v>36</v>
      </c>
      <c r="B55" s="15" t="s">
        <v>233</v>
      </c>
      <c r="C55" s="14" t="s">
        <v>24</v>
      </c>
      <c r="D55" s="16" t="s">
        <v>234</v>
      </c>
      <c r="E55" s="14" t="s">
        <v>12</v>
      </c>
      <c r="F55" s="17">
        <v>20300</v>
      </c>
      <c r="G55" s="14" t="s">
        <v>164</v>
      </c>
      <c r="H55" s="18"/>
    </row>
    <row r="56" spans="1:8" x14ac:dyDescent="0.2">
      <c r="A56" s="9">
        <v>37</v>
      </c>
      <c r="B56" s="10" t="s">
        <v>235</v>
      </c>
      <c r="C56" s="9" t="s">
        <v>10</v>
      </c>
      <c r="D56" s="11" t="s">
        <v>236</v>
      </c>
      <c r="E56" s="9" t="s">
        <v>17</v>
      </c>
      <c r="F56" s="12">
        <v>20100</v>
      </c>
      <c r="G56" s="9" t="s">
        <v>164</v>
      </c>
      <c r="H56" s="13"/>
    </row>
    <row r="57" spans="1:8" x14ac:dyDescent="0.2">
      <c r="A57" s="14">
        <v>38</v>
      </c>
      <c r="B57" s="15" t="s">
        <v>237</v>
      </c>
      <c r="C57" s="14" t="s">
        <v>24</v>
      </c>
      <c r="D57" s="16" t="s">
        <v>238</v>
      </c>
      <c r="E57" s="14" t="s">
        <v>12</v>
      </c>
      <c r="F57" s="17">
        <v>19800</v>
      </c>
      <c r="G57" s="14" t="s">
        <v>164</v>
      </c>
      <c r="H57" s="18"/>
    </row>
    <row r="58" spans="1:8" x14ac:dyDescent="0.2">
      <c r="A58" s="9">
        <v>39</v>
      </c>
      <c r="B58" s="10" t="s">
        <v>239</v>
      </c>
      <c r="C58" s="9" t="s">
        <v>24</v>
      </c>
      <c r="D58" s="11" t="s">
        <v>240</v>
      </c>
      <c r="E58" s="9" t="s">
        <v>12</v>
      </c>
      <c r="F58" s="12">
        <v>18900</v>
      </c>
      <c r="G58" s="9" t="s">
        <v>164</v>
      </c>
      <c r="H58" s="13"/>
    </row>
    <row r="59" spans="1:8" x14ac:dyDescent="0.2">
      <c r="A59" s="14">
        <v>40</v>
      </c>
      <c r="B59" s="15" t="s">
        <v>241</v>
      </c>
      <c r="C59" s="14" t="s">
        <v>10</v>
      </c>
      <c r="D59" s="16" t="s">
        <v>242</v>
      </c>
      <c r="E59" s="14" t="s">
        <v>17</v>
      </c>
      <c r="F59" s="17">
        <v>18300</v>
      </c>
      <c r="G59" s="14" t="s">
        <v>164</v>
      </c>
      <c r="H59" s="18"/>
    </row>
    <row r="60" spans="1:8" x14ac:dyDescent="0.2">
      <c r="A60" s="9">
        <v>41</v>
      </c>
      <c r="B60" s="10" t="s">
        <v>243</v>
      </c>
      <c r="C60" s="9" t="s">
        <v>24</v>
      </c>
      <c r="D60" s="11" t="s">
        <v>244</v>
      </c>
      <c r="E60" s="9" t="s">
        <v>17</v>
      </c>
      <c r="F60" s="12">
        <v>18200</v>
      </c>
      <c r="G60" s="9" t="s">
        <v>164</v>
      </c>
      <c r="H60" s="13"/>
    </row>
    <row r="61" spans="1:8" x14ac:dyDescent="0.2">
      <c r="A61" s="14">
        <v>42</v>
      </c>
      <c r="B61" s="15" t="s">
        <v>245</v>
      </c>
      <c r="C61" s="14" t="s">
        <v>24</v>
      </c>
      <c r="D61" s="16" t="s">
        <v>246</v>
      </c>
      <c r="E61" s="14" t="s">
        <v>12</v>
      </c>
      <c r="F61" s="17">
        <v>17800</v>
      </c>
      <c r="G61" s="14" t="s">
        <v>164</v>
      </c>
      <c r="H61" s="18"/>
    </row>
    <row r="62" spans="1:8" x14ac:dyDescent="0.2">
      <c r="A62" s="9">
        <v>43</v>
      </c>
      <c r="B62" s="10" t="s">
        <v>247</v>
      </c>
      <c r="C62" s="9" t="s">
        <v>10</v>
      </c>
      <c r="D62" s="11" t="s">
        <v>248</v>
      </c>
      <c r="E62" s="9" t="s">
        <v>17</v>
      </c>
      <c r="F62" s="12">
        <v>17500</v>
      </c>
      <c r="G62" s="9" t="s">
        <v>164</v>
      </c>
      <c r="H62" s="13"/>
    </row>
    <row r="63" spans="1:8" x14ac:dyDescent="0.2">
      <c r="A63" s="14">
        <v>44</v>
      </c>
      <c r="B63" s="15" t="s">
        <v>249</v>
      </c>
      <c r="C63" s="14" t="s">
        <v>24</v>
      </c>
      <c r="D63" s="16" t="s">
        <v>250</v>
      </c>
      <c r="E63" s="14" t="s">
        <v>12</v>
      </c>
      <c r="F63" s="17">
        <v>17500</v>
      </c>
      <c r="G63" s="14" t="s">
        <v>164</v>
      </c>
      <c r="H63" s="18"/>
    </row>
    <row r="64" spans="1:8" x14ac:dyDescent="0.2">
      <c r="A64" s="9">
        <v>45</v>
      </c>
      <c r="B64" s="10" t="s">
        <v>251</v>
      </c>
      <c r="C64" s="9" t="s">
        <v>24</v>
      </c>
      <c r="D64" s="11" t="s">
        <v>252</v>
      </c>
      <c r="E64" s="9" t="s">
        <v>12</v>
      </c>
      <c r="F64" s="12">
        <v>17300</v>
      </c>
      <c r="G64" s="9" t="s">
        <v>164</v>
      </c>
      <c r="H64" s="13"/>
    </row>
    <row r="65" spans="1:8" x14ac:dyDescent="0.2">
      <c r="A65" s="14">
        <v>46</v>
      </c>
      <c r="B65" s="15" t="s">
        <v>253</v>
      </c>
      <c r="C65" s="14" t="s">
        <v>24</v>
      </c>
      <c r="D65" s="16" t="s">
        <v>254</v>
      </c>
      <c r="E65" s="14" t="s">
        <v>12</v>
      </c>
      <c r="F65" s="17">
        <v>16300</v>
      </c>
      <c r="G65" s="14" t="s">
        <v>164</v>
      </c>
      <c r="H65" s="18"/>
    </row>
    <row r="66" spans="1:8" x14ac:dyDescent="0.2">
      <c r="A66" s="9">
        <v>47</v>
      </c>
      <c r="B66" s="10" t="s">
        <v>255</v>
      </c>
      <c r="C66" s="9" t="s">
        <v>24</v>
      </c>
      <c r="D66" s="11" t="s">
        <v>256</v>
      </c>
      <c r="E66" s="9" t="s">
        <v>12</v>
      </c>
      <c r="F66" s="12">
        <v>16200</v>
      </c>
      <c r="G66" s="9" t="s">
        <v>164</v>
      </c>
      <c r="H66" s="13"/>
    </row>
    <row r="67" spans="1:8" x14ac:dyDescent="0.2">
      <c r="A67" s="14">
        <v>48</v>
      </c>
      <c r="B67" s="15" t="s">
        <v>257</v>
      </c>
      <c r="C67" s="14" t="s">
        <v>24</v>
      </c>
      <c r="D67" s="16" t="s">
        <v>258</v>
      </c>
      <c r="E67" s="14" t="s">
        <v>12</v>
      </c>
      <c r="F67" s="17">
        <v>15200</v>
      </c>
      <c r="G67" s="14" t="s">
        <v>164</v>
      </c>
      <c r="H67" s="18"/>
    </row>
    <row r="68" spans="1:8" x14ac:dyDescent="0.2">
      <c r="A68" s="9">
        <v>49</v>
      </c>
      <c r="B68" s="10" t="s">
        <v>259</v>
      </c>
      <c r="C68" s="9" t="s">
        <v>24</v>
      </c>
      <c r="D68" s="11" t="s">
        <v>260</v>
      </c>
      <c r="E68" s="9" t="s">
        <v>12</v>
      </c>
      <c r="F68" s="12">
        <v>14400</v>
      </c>
      <c r="G68" s="9" t="s">
        <v>164</v>
      </c>
      <c r="H68" s="13"/>
    </row>
    <row r="69" spans="1:8" x14ac:dyDescent="0.2">
      <c r="A69" s="14">
        <v>50</v>
      </c>
      <c r="B69" s="15" t="s">
        <v>261</v>
      </c>
      <c r="C69" s="14" t="s">
        <v>10</v>
      </c>
      <c r="D69" s="16" t="s">
        <v>262</v>
      </c>
      <c r="E69" s="14" t="s">
        <v>17</v>
      </c>
      <c r="F69" s="17">
        <v>13300</v>
      </c>
      <c r="G69" s="14" t="s">
        <v>164</v>
      </c>
      <c r="H69" s="18"/>
    </row>
    <row r="70" spans="1:8" x14ac:dyDescent="0.2">
      <c r="A70" s="9">
        <v>51</v>
      </c>
      <c r="B70" s="10" t="s">
        <v>263</v>
      </c>
      <c r="C70" s="9" t="s">
        <v>10</v>
      </c>
      <c r="D70" s="11" t="s">
        <v>264</v>
      </c>
      <c r="E70" s="9" t="s">
        <v>17</v>
      </c>
      <c r="F70" s="12">
        <v>12800</v>
      </c>
      <c r="G70" s="9" t="s">
        <v>164</v>
      </c>
      <c r="H70" s="13"/>
    </row>
    <row r="71" spans="1:8" x14ac:dyDescent="0.2">
      <c r="A71" s="14">
        <v>52</v>
      </c>
      <c r="B71" s="15" t="s">
        <v>265</v>
      </c>
      <c r="C71" s="14" t="s">
        <v>24</v>
      </c>
      <c r="D71" s="16" t="s">
        <v>266</v>
      </c>
      <c r="E71" s="14" t="s">
        <v>17</v>
      </c>
      <c r="F71" s="17">
        <v>12700</v>
      </c>
      <c r="G71" s="14" t="s">
        <v>164</v>
      </c>
      <c r="H71" s="18"/>
    </row>
    <row r="72" spans="1:8" x14ac:dyDescent="0.2">
      <c r="A72" s="9">
        <v>53</v>
      </c>
      <c r="B72" s="10" t="s">
        <v>267</v>
      </c>
      <c r="C72" s="9" t="s">
        <v>24</v>
      </c>
      <c r="D72" s="11" t="s">
        <v>268</v>
      </c>
      <c r="E72" s="9" t="s">
        <v>12</v>
      </c>
      <c r="F72" s="12">
        <v>12600</v>
      </c>
      <c r="G72" s="9" t="s">
        <v>164</v>
      </c>
      <c r="H72" s="13"/>
    </row>
    <row r="73" spans="1:8" x14ac:dyDescent="0.2">
      <c r="A73" s="14">
        <v>54</v>
      </c>
      <c r="B73" s="15" t="s">
        <v>269</v>
      </c>
      <c r="C73" s="14" t="s">
        <v>10</v>
      </c>
      <c r="D73" s="16" t="s">
        <v>270</v>
      </c>
      <c r="E73" s="14" t="s">
        <v>17</v>
      </c>
      <c r="F73" s="17">
        <v>12200</v>
      </c>
      <c r="G73" s="14" t="s">
        <v>164</v>
      </c>
      <c r="H73" s="18"/>
    </row>
    <row r="74" spans="1:8" x14ac:dyDescent="0.2">
      <c r="A74" s="9">
        <v>55</v>
      </c>
      <c r="B74" s="10" t="s">
        <v>271</v>
      </c>
      <c r="C74" s="9" t="s">
        <v>24</v>
      </c>
      <c r="D74" s="11" t="s">
        <v>272</v>
      </c>
      <c r="E74" s="9" t="s">
        <v>17</v>
      </c>
      <c r="F74" s="12">
        <v>12000</v>
      </c>
      <c r="G74" s="9" t="s">
        <v>164</v>
      </c>
      <c r="H74" s="13"/>
    </row>
    <row r="75" spans="1:8" x14ac:dyDescent="0.2">
      <c r="A75" s="14">
        <v>56</v>
      </c>
      <c r="B75" s="15" t="s">
        <v>273</v>
      </c>
      <c r="C75" s="14" t="s">
        <v>24</v>
      </c>
      <c r="D75" s="16" t="s">
        <v>274</v>
      </c>
      <c r="E75" s="14" t="s">
        <v>17</v>
      </c>
      <c r="F75" s="17">
        <v>11300</v>
      </c>
      <c r="G75" s="14" t="s">
        <v>164</v>
      </c>
      <c r="H75" s="18"/>
    </row>
    <row r="76" spans="1:8" x14ac:dyDescent="0.2">
      <c r="A76" s="9">
        <v>57</v>
      </c>
      <c r="B76" s="10" t="s">
        <v>275</v>
      </c>
      <c r="C76" s="9" t="s">
        <v>24</v>
      </c>
      <c r="D76" s="11" t="s">
        <v>276</v>
      </c>
      <c r="E76" s="9" t="s">
        <v>12</v>
      </c>
      <c r="F76" s="12">
        <v>11300</v>
      </c>
      <c r="G76" s="9" t="s">
        <v>164</v>
      </c>
      <c r="H76" s="13"/>
    </row>
    <row r="77" spans="1:8" x14ac:dyDescent="0.2">
      <c r="A77" s="14">
        <v>58</v>
      </c>
      <c r="B77" s="15" t="s">
        <v>277</v>
      </c>
      <c r="C77" s="14" t="s">
        <v>24</v>
      </c>
      <c r="D77" s="16" t="s">
        <v>278</v>
      </c>
      <c r="E77" s="14" t="s">
        <v>17</v>
      </c>
      <c r="F77" s="17">
        <v>11200</v>
      </c>
      <c r="G77" s="14" t="s">
        <v>164</v>
      </c>
      <c r="H77" s="18"/>
    </row>
    <row r="78" spans="1:8" x14ac:dyDescent="0.2">
      <c r="A78" s="9">
        <v>59</v>
      </c>
      <c r="B78" s="10" t="s">
        <v>279</v>
      </c>
      <c r="C78" s="9" t="s">
        <v>24</v>
      </c>
      <c r="D78" s="11" t="s">
        <v>280</v>
      </c>
      <c r="E78" s="9" t="s">
        <v>12</v>
      </c>
      <c r="F78" s="12">
        <v>10800</v>
      </c>
      <c r="G78" s="9" t="s">
        <v>164</v>
      </c>
      <c r="H78" s="13"/>
    </row>
    <row r="79" spans="1:8" x14ac:dyDescent="0.2">
      <c r="A79" s="14">
        <v>60</v>
      </c>
      <c r="B79" s="15" t="s">
        <v>281</v>
      </c>
      <c r="C79" s="14" t="s">
        <v>10</v>
      </c>
      <c r="D79" s="16" t="s">
        <v>282</v>
      </c>
      <c r="E79" s="14" t="s">
        <v>17</v>
      </c>
      <c r="F79" s="17">
        <v>10300</v>
      </c>
      <c r="G79" s="14" t="s">
        <v>164</v>
      </c>
      <c r="H79" s="18"/>
    </row>
    <row r="80" spans="1:8" x14ac:dyDescent="0.2">
      <c r="A80" s="9">
        <v>61</v>
      </c>
      <c r="B80" s="10" t="s">
        <v>283</v>
      </c>
      <c r="C80" s="9" t="s">
        <v>24</v>
      </c>
      <c r="D80" s="11" t="s">
        <v>284</v>
      </c>
      <c r="E80" s="9" t="s">
        <v>12</v>
      </c>
      <c r="F80" s="12">
        <v>10200</v>
      </c>
      <c r="G80" s="9" t="s">
        <v>164</v>
      </c>
      <c r="H80" s="13"/>
    </row>
  </sheetData>
  <autoFilter ref="A19:H80" xr:uid="{00000000-0009-0000-0000-000002000000}"/>
  <mergeCells count="19">
    <mergeCell ref="A13:B13"/>
    <mergeCell ref="A14:B14"/>
    <mergeCell ref="E14:H14"/>
    <mergeCell ref="A15:B15"/>
    <mergeCell ref="A16:B16"/>
    <mergeCell ref="A10:B10"/>
    <mergeCell ref="E10:F12"/>
    <mergeCell ref="G10:H12"/>
    <mergeCell ref="A11:B11"/>
    <mergeCell ref="A12:B12"/>
    <mergeCell ref="A1:H1"/>
    <mergeCell ref="A3:H4"/>
    <mergeCell ref="A6:C6"/>
    <mergeCell ref="E6:H6"/>
    <mergeCell ref="A7:B7"/>
    <mergeCell ref="E7:F9"/>
    <mergeCell ref="G7:H9"/>
    <mergeCell ref="A8:B8"/>
    <mergeCell ref="A9:B9"/>
  </mergeCells>
  <hyperlinks>
    <hyperlink ref="D80" r:id="rId1" xr:uid="{00000000-0004-0000-0200-00003C000000}"/>
    <hyperlink ref="D79" r:id="rId2" xr:uid="{00000000-0004-0000-0200-00003B000000}"/>
    <hyperlink ref="D78" r:id="rId3" xr:uid="{00000000-0004-0000-0200-00003A000000}"/>
    <hyperlink ref="D77" r:id="rId4" xr:uid="{00000000-0004-0000-0200-000039000000}"/>
    <hyperlink ref="D76" r:id="rId5" xr:uid="{00000000-0004-0000-0200-000038000000}"/>
    <hyperlink ref="D75" r:id="rId6" xr:uid="{00000000-0004-0000-0200-000037000000}"/>
    <hyperlink ref="D74" r:id="rId7" xr:uid="{00000000-0004-0000-0200-000036000000}"/>
    <hyperlink ref="D73" r:id="rId8" xr:uid="{00000000-0004-0000-0200-000035000000}"/>
    <hyperlink ref="D72" r:id="rId9" xr:uid="{00000000-0004-0000-0200-000034000000}"/>
    <hyperlink ref="D71" r:id="rId10" xr:uid="{00000000-0004-0000-0200-000033000000}"/>
    <hyperlink ref="D70" r:id="rId11" xr:uid="{00000000-0004-0000-0200-000032000000}"/>
    <hyperlink ref="D69" r:id="rId12" xr:uid="{00000000-0004-0000-0200-000031000000}"/>
    <hyperlink ref="D68" r:id="rId13" xr:uid="{00000000-0004-0000-0200-000030000000}"/>
    <hyperlink ref="D67" r:id="rId14" xr:uid="{00000000-0004-0000-0200-00002F000000}"/>
    <hyperlink ref="D66" r:id="rId15" xr:uid="{00000000-0004-0000-0200-00002E000000}"/>
    <hyperlink ref="D65" r:id="rId16" xr:uid="{00000000-0004-0000-0200-00002D000000}"/>
    <hyperlink ref="D64" r:id="rId17" xr:uid="{00000000-0004-0000-0200-00002C000000}"/>
    <hyperlink ref="D63" r:id="rId18" xr:uid="{00000000-0004-0000-0200-00002B000000}"/>
    <hyperlink ref="D62" r:id="rId19" xr:uid="{00000000-0004-0000-0200-00002A000000}"/>
    <hyperlink ref="D61" r:id="rId20" xr:uid="{00000000-0004-0000-0200-000029000000}"/>
    <hyperlink ref="D60" r:id="rId21" xr:uid="{00000000-0004-0000-0200-000028000000}"/>
    <hyperlink ref="D59" r:id="rId22" xr:uid="{00000000-0004-0000-0200-000027000000}"/>
    <hyperlink ref="D58" r:id="rId23" xr:uid="{00000000-0004-0000-0200-000026000000}"/>
    <hyperlink ref="D57" r:id="rId24" xr:uid="{00000000-0004-0000-0200-000025000000}"/>
    <hyperlink ref="D56" r:id="rId25" xr:uid="{00000000-0004-0000-0200-000024000000}"/>
    <hyperlink ref="D55" r:id="rId26" xr:uid="{00000000-0004-0000-0200-000023000000}"/>
    <hyperlink ref="D54" r:id="rId27" xr:uid="{00000000-0004-0000-0200-000022000000}"/>
    <hyperlink ref="D53" r:id="rId28" xr:uid="{00000000-0004-0000-0200-000021000000}"/>
    <hyperlink ref="D52" r:id="rId29" xr:uid="{00000000-0004-0000-0200-000020000000}"/>
    <hyperlink ref="D51" r:id="rId30" xr:uid="{00000000-0004-0000-0200-00001F000000}"/>
    <hyperlink ref="D50" r:id="rId31" xr:uid="{00000000-0004-0000-0200-00001E000000}"/>
    <hyperlink ref="D49" r:id="rId32" xr:uid="{00000000-0004-0000-0200-00001D000000}"/>
    <hyperlink ref="D48" r:id="rId33" xr:uid="{00000000-0004-0000-0200-00001C000000}"/>
    <hyperlink ref="D47" r:id="rId34" xr:uid="{00000000-0004-0000-0200-00001B000000}"/>
    <hyperlink ref="D46" r:id="rId35" xr:uid="{00000000-0004-0000-0200-00001A000000}"/>
    <hyperlink ref="D45" r:id="rId36" xr:uid="{00000000-0004-0000-0200-000019000000}"/>
    <hyperlink ref="D44" r:id="rId37" xr:uid="{00000000-0004-0000-0200-000018000000}"/>
    <hyperlink ref="D43" r:id="rId38" xr:uid="{00000000-0004-0000-0200-000017000000}"/>
    <hyperlink ref="D42" r:id="rId39" xr:uid="{00000000-0004-0000-0200-000016000000}"/>
    <hyperlink ref="D41" r:id="rId40" xr:uid="{00000000-0004-0000-0200-000015000000}"/>
    <hyperlink ref="D40" r:id="rId41" xr:uid="{00000000-0004-0000-0200-000014000000}"/>
    <hyperlink ref="D39" r:id="rId42" xr:uid="{00000000-0004-0000-0200-000013000000}"/>
    <hyperlink ref="D38" r:id="rId43" xr:uid="{00000000-0004-0000-0200-000012000000}"/>
    <hyperlink ref="D37" r:id="rId44" xr:uid="{00000000-0004-0000-0200-000011000000}"/>
    <hyperlink ref="D36" r:id="rId45" xr:uid="{00000000-0004-0000-0200-000010000000}"/>
    <hyperlink ref="D35" r:id="rId46" xr:uid="{00000000-0004-0000-0200-00000F000000}"/>
    <hyperlink ref="D34" r:id="rId47" xr:uid="{00000000-0004-0000-0200-00000E000000}"/>
    <hyperlink ref="D33" r:id="rId48" xr:uid="{00000000-0004-0000-0200-00000D000000}"/>
    <hyperlink ref="D32" r:id="rId49" xr:uid="{00000000-0004-0000-0200-00000C000000}"/>
    <hyperlink ref="D31" r:id="rId50" xr:uid="{00000000-0004-0000-0200-00000B000000}"/>
    <hyperlink ref="D30" r:id="rId51" xr:uid="{00000000-0004-0000-0200-00000A000000}"/>
    <hyperlink ref="D29" r:id="rId52" xr:uid="{00000000-0004-0000-0200-000009000000}"/>
    <hyperlink ref="D28" r:id="rId53" xr:uid="{00000000-0004-0000-0200-000008000000}"/>
    <hyperlink ref="D27" r:id="rId54" xr:uid="{00000000-0004-0000-0200-000007000000}"/>
    <hyperlink ref="D26" r:id="rId55" xr:uid="{00000000-0004-0000-0200-000006000000}"/>
    <hyperlink ref="D25" r:id="rId56" xr:uid="{00000000-0004-0000-0200-000005000000}"/>
    <hyperlink ref="D24" r:id="rId57" xr:uid="{00000000-0004-0000-0200-000004000000}"/>
    <hyperlink ref="D23" r:id="rId58" xr:uid="{00000000-0004-0000-0200-000003000000}"/>
    <hyperlink ref="D22" r:id="rId59" xr:uid="{00000000-0004-0000-0200-000002000000}"/>
    <hyperlink ref="D21" r:id="rId60" xr:uid="{00000000-0004-0000-0200-000001000000}"/>
    <hyperlink ref="D20" r:id="rId6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rightToLeft="1" zoomScaleNormal="100" workbookViewId="0">
      <pane ySplit="19" topLeftCell="A68" activePane="bottomLeft" state="frozen"/>
      <selection pane="bottomLeft" activeCell="C66" sqref="C66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14" customWidth="1"/>
    <col min="4" max="4" width="30" customWidth="1"/>
    <col min="5" max="7" width="15" customWidth="1"/>
    <col min="8" max="8" width="32" customWidth="1"/>
  </cols>
  <sheetData>
    <row r="1" spans="1:8" ht="31.5" customHeight="1" x14ac:dyDescent="0.2">
      <c r="A1" s="7" t="s">
        <v>361</v>
      </c>
      <c r="B1" s="7"/>
      <c r="C1" s="7"/>
      <c r="D1" s="7"/>
      <c r="E1" s="7"/>
      <c r="F1" s="7"/>
      <c r="G1" s="7"/>
      <c r="H1" s="7"/>
    </row>
    <row r="3" spans="1:8" ht="30" customHeight="1" x14ac:dyDescent="0.2">
      <c r="A3" s="6" t="s">
        <v>362</v>
      </c>
      <c r="B3" s="6"/>
      <c r="C3" s="6"/>
      <c r="D3" s="6"/>
      <c r="E3" s="6"/>
      <c r="F3" s="6"/>
      <c r="G3" s="6"/>
      <c r="H3" s="6"/>
    </row>
    <row r="4" spans="1:8" ht="19.5" customHeight="1" x14ac:dyDescent="0.2">
      <c r="A4" s="6"/>
      <c r="B4" s="6"/>
      <c r="C4" s="6"/>
      <c r="D4" s="6"/>
      <c r="E4" s="6"/>
      <c r="F4" s="6"/>
      <c r="G4" s="6"/>
      <c r="H4" s="6"/>
    </row>
    <row r="6" spans="1:8" ht="25.5" customHeight="1" x14ac:dyDescent="0.2">
      <c r="A6" s="5" t="s">
        <v>344</v>
      </c>
      <c r="B6" s="5"/>
      <c r="C6" s="5"/>
      <c r="E6" s="5" t="s">
        <v>345</v>
      </c>
      <c r="F6" s="5"/>
      <c r="G6" s="5"/>
      <c r="H6" s="5"/>
    </row>
    <row r="7" spans="1:8" ht="24" customHeight="1" x14ac:dyDescent="0.2">
      <c r="A7" s="4" t="s">
        <v>346</v>
      </c>
      <c r="B7" s="4"/>
      <c r="C7" s="19">
        <f>COUNTA(B20:B89)</f>
        <v>70</v>
      </c>
      <c r="E7" s="3" t="s">
        <v>347</v>
      </c>
      <c r="F7" s="3"/>
      <c r="G7" s="2">
        <v>1450</v>
      </c>
      <c r="H7" s="2"/>
    </row>
    <row r="8" spans="1:8" ht="24" customHeight="1" x14ac:dyDescent="0.2">
      <c r="A8" s="4" t="s">
        <v>348</v>
      </c>
      <c r="B8" s="4"/>
      <c r="C8" s="19">
        <f>COUNTIF(E20:E89,"Instagram")</f>
        <v>59</v>
      </c>
      <c r="E8" s="3"/>
      <c r="F8" s="3"/>
      <c r="G8" s="2"/>
      <c r="H8" s="2"/>
    </row>
    <row r="9" spans="1:8" ht="24" customHeight="1" x14ac:dyDescent="0.2">
      <c r="A9" s="4" t="s">
        <v>349</v>
      </c>
      <c r="B9" s="4"/>
      <c r="C9" s="19">
        <f>COUNTIF(E20:E89,"TikTok")</f>
        <v>11</v>
      </c>
      <c r="E9" s="3"/>
      <c r="F9" s="3"/>
      <c r="G9" s="2"/>
      <c r="H9" s="2"/>
    </row>
    <row r="10" spans="1:8" ht="24" customHeight="1" x14ac:dyDescent="0.2">
      <c r="A10" s="4" t="s">
        <v>350</v>
      </c>
      <c r="B10" s="4"/>
      <c r="C10" s="19">
        <f>COUNTIF(C20:C89,"الرياض")</f>
        <v>45</v>
      </c>
      <c r="E10" s="3" t="s">
        <v>351</v>
      </c>
      <c r="F10" s="3"/>
      <c r="G10" s="2">
        <v>2900</v>
      </c>
      <c r="H10" s="2"/>
    </row>
    <row r="11" spans="1:8" ht="24" customHeight="1" x14ac:dyDescent="0.2">
      <c r="A11" s="4" t="s">
        <v>352</v>
      </c>
      <c r="B11" s="4"/>
      <c r="C11" s="19">
        <f>COUNTIF(C20:C89,"جدة")</f>
        <v>25</v>
      </c>
      <c r="E11" s="3"/>
      <c r="F11" s="3"/>
      <c r="G11" s="2"/>
      <c r="H11" s="2"/>
    </row>
    <row r="12" spans="1:8" ht="24" customHeight="1" x14ac:dyDescent="0.2">
      <c r="A12" s="4" t="s">
        <v>353</v>
      </c>
      <c r="B12" s="4"/>
      <c r="C12" s="19">
        <f>COUNTIF(C20:C89,"غير محددة")</f>
        <v>0</v>
      </c>
      <c r="E12" s="3"/>
      <c r="F12" s="3"/>
      <c r="G12" s="2"/>
      <c r="H12" s="2"/>
    </row>
    <row r="13" spans="1:8" ht="24" customHeight="1" x14ac:dyDescent="0.2">
      <c r="A13" s="4" t="s">
        <v>354</v>
      </c>
      <c r="B13" s="4"/>
      <c r="C13" s="19">
        <f>SUM(F20:F89)</f>
        <v>8938700</v>
      </c>
    </row>
    <row r="14" spans="1:8" ht="24" customHeight="1" x14ac:dyDescent="0.2">
      <c r="A14" s="4" t="s">
        <v>355</v>
      </c>
      <c r="B14" s="4"/>
      <c r="C14" s="19">
        <f>IFERROR(AVERAGE(F20:F89),0)</f>
        <v>127695.71428571429</v>
      </c>
      <c r="E14" s="1" t="s">
        <v>356</v>
      </c>
      <c r="F14" s="1"/>
      <c r="G14" s="1"/>
      <c r="H14" s="1"/>
    </row>
    <row r="15" spans="1:8" ht="24" customHeight="1" x14ac:dyDescent="0.2">
      <c r="A15" s="4" t="s">
        <v>357</v>
      </c>
      <c r="B15" s="4"/>
      <c r="C15" s="19">
        <f>IFERROR(MIN(F20:F89),0)</f>
        <v>51200</v>
      </c>
    </row>
    <row r="16" spans="1:8" ht="24" customHeight="1" x14ac:dyDescent="0.2">
      <c r="A16" s="4" t="s">
        <v>358</v>
      </c>
      <c r="B16" s="4"/>
      <c r="C16" s="19">
        <f>IFERROR(MAX(F20:F89),0)</f>
        <v>499000</v>
      </c>
    </row>
    <row r="19" spans="1:8" ht="24" customHeight="1" x14ac:dyDescent="0.2">
      <c r="A19" s="8" t="s">
        <v>1</v>
      </c>
      <c r="B19" s="8" t="s">
        <v>2</v>
      </c>
      <c r="C19" s="8" t="s">
        <v>3</v>
      </c>
      <c r="D19" s="8" t="s">
        <v>4</v>
      </c>
      <c r="E19" s="8" t="s">
        <v>5</v>
      </c>
      <c r="F19" s="8" t="s">
        <v>6</v>
      </c>
      <c r="G19" s="8" t="s">
        <v>7</v>
      </c>
      <c r="H19" s="8" t="s">
        <v>8</v>
      </c>
    </row>
    <row r="20" spans="1:8" x14ac:dyDescent="0.2">
      <c r="A20" s="9">
        <v>1</v>
      </c>
      <c r="B20" s="10" t="s">
        <v>20</v>
      </c>
      <c r="C20" s="9" t="s">
        <v>10</v>
      </c>
      <c r="D20" s="11" t="s">
        <v>21</v>
      </c>
      <c r="E20" s="9" t="s">
        <v>12</v>
      </c>
      <c r="F20" s="12">
        <v>499000</v>
      </c>
      <c r="G20" s="9" t="s">
        <v>22</v>
      </c>
      <c r="H20" s="13"/>
    </row>
    <row r="21" spans="1:8" x14ac:dyDescent="0.2">
      <c r="A21" s="14">
        <v>2</v>
      </c>
      <c r="B21" s="15" t="s">
        <v>23</v>
      </c>
      <c r="C21" s="14" t="s">
        <v>24</v>
      </c>
      <c r="D21" s="16" t="s">
        <v>25</v>
      </c>
      <c r="E21" s="14" t="s">
        <v>12</v>
      </c>
      <c r="F21" s="17">
        <v>329000</v>
      </c>
      <c r="G21" s="14" t="s">
        <v>22</v>
      </c>
      <c r="H21" s="18"/>
    </row>
    <row r="22" spans="1:8" x14ac:dyDescent="0.2">
      <c r="A22" s="9">
        <v>3</v>
      </c>
      <c r="B22" s="10" t="s">
        <v>26</v>
      </c>
      <c r="C22" s="9" t="s">
        <v>24</v>
      </c>
      <c r="D22" s="11" t="s">
        <v>27</v>
      </c>
      <c r="E22" s="9" t="s">
        <v>17</v>
      </c>
      <c r="F22" s="12">
        <v>318300</v>
      </c>
      <c r="G22" s="9" t="s">
        <v>22</v>
      </c>
      <c r="H22" s="13"/>
    </row>
    <row r="23" spans="1:8" x14ac:dyDescent="0.2">
      <c r="A23" s="14">
        <v>4</v>
      </c>
      <c r="B23" s="15" t="s">
        <v>28</v>
      </c>
      <c r="C23" s="14" t="s">
        <v>24</v>
      </c>
      <c r="D23" s="16" t="s">
        <v>29</v>
      </c>
      <c r="E23" s="14" t="s">
        <v>17</v>
      </c>
      <c r="F23" s="17">
        <v>317300</v>
      </c>
      <c r="G23" s="14" t="s">
        <v>22</v>
      </c>
      <c r="H23" s="18"/>
    </row>
    <row r="24" spans="1:8" x14ac:dyDescent="0.2">
      <c r="A24" s="9">
        <v>5</v>
      </c>
      <c r="B24" s="10" t="s">
        <v>30</v>
      </c>
      <c r="C24" s="9" t="s">
        <v>10</v>
      </c>
      <c r="D24" s="11" t="s">
        <v>31</v>
      </c>
      <c r="E24" s="9" t="s">
        <v>12</v>
      </c>
      <c r="F24" s="12">
        <v>287000</v>
      </c>
      <c r="G24" s="9" t="s">
        <v>22</v>
      </c>
      <c r="H24" s="13"/>
    </row>
    <row r="25" spans="1:8" x14ac:dyDescent="0.2">
      <c r="A25" s="14">
        <v>6</v>
      </c>
      <c r="B25" s="15" t="s">
        <v>32</v>
      </c>
      <c r="C25" s="14" t="s">
        <v>10</v>
      </c>
      <c r="D25" s="16" t="s">
        <v>33</v>
      </c>
      <c r="E25" s="14" t="s">
        <v>12</v>
      </c>
      <c r="F25" s="17">
        <v>240000</v>
      </c>
      <c r="G25" s="14" t="s">
        <v>22</v>
      </c>
      <c r="H25" s="18"/>
    </row>
    <row r="26" spans="1:8" x14ac:dyDescent="0.2">
      <c r="A26" s="9">
        <v>7</v>
      </c>
      <c r="B26" s="10" t="s">
        <v>34</v>
      </c>
      <c r="C26" s="9" t="s">
        <v>24</v>
      </c>
      <c r="D26" s="11" t="s">
        <v>35</v>
      </c>
      <c r="E26" s="9" t="s">
        <v>17</v>
      </c>
      <c r="F26" s="12">
        <v>237700</v>
      </c>
      <c r="G26" s="9" t="s">
        <v>22</v>
      </c>
      <c r="H26" s="13"/>
    </row>
    <row r="27" spans="1:8" x14ac:dyDescent="0.2">
      <c r="A27" s="14">
        <v>8</v>
      </c>
      <c r="B27" s="15" t="s">
        <v>36</v>
      </c>
      <c r="C27" s="14" t="s">
        <v>24</v>
      </c>
      <c r="D27" s="16" t="s">
        <v>37</v>
      </c>
      <c r="E27" s="14" t="s">
        <v>12</v>
      </c>
      <c r="F27" s="17">
        <v>217000</v>
      </c>
      <c r="G27" s="14" t="s">
        <v>22</v>
      </c>
      <c r="H27" s="18"/>
    </row>
    <row r="28" spans="1:8" x14ac:dyDescent="0.2">
      <c r="A28" s="9">
        <v>9</v>
      </c>
      <c r="B28" s="10" t="s">
        <v>38</v>
      </c>
      <c r="C28" s="9" t="s">
        <v>24</v>
      </c>
      <c r="D28" s="11" t="s">
        <v>39</v>
      </c>
      <c r="E28" s="9" t="s">
        <v>12</v>
      </c>
      <c r="F28" s="12">
        <v>217000</v>
      </c>
      <c r="G28" s="9" t="s">
        <v>22</v>
      </c>
      <c r="H28" s="13"/>
    </row>
    <row r="29" spans="1:8" x14ac:dyDescent="0.2">
      <c r="A29" s="14">
        <v>10</v>
      </c>
      <c r="B29" s="15" t="s">
        <v>40</v>
      </c>
      <c r="C29" s="14" t="s">
        <v>24</v>
      </c>
      <c r="D29" s="16" t="s">
        <v>41</v>
      </c>
      <c r="E29" s="14" t="s">
        <v>17</v>
      </c>
      <c r="F29" s="17">
        <v>212000</v>
      </c>
      <c r="G29" s="14" t="s">
        <v>22</v>
      </c>
      <c r="H29" s="18"/>
    </row>
    <row r="30" spans="1:8" x14ac:dyDescent="0.2">
      <c r="A30" s="9">
        <v>11</v>
      </c>
      <c r="B30" s="10" t="s">
        <v>42</v>
      </c>
      <c r="C30" s="9" t="s">
        <v>24</v>
      </c>
      <c r="D30" s="11" t="s">
        <v>43</v>
      </c>
      <c r="E30" s="9" t="s">
        <v>12</v>
      </c>
      <c r="F30" s="12">
        <v>207000</v>
      </c>
      <c r="G30" s="9" t="s">
        <v>22</v>
      </c>
      <c r="H30" s="13"/>
    </row>
    <row r="31" spans="1:8" x14ac:dyDescent="0.2">
      <c r="A31" s="14">
        <v>12</v>
      </c>
      <c r="B31" s="15" t="s">
        <v>44</v>
      </c>
      <c r="C31" s="14" t="s">
        <v>24</v>
      </c>
      <c r="D31" s="16" t="s">
        <v>45</v>
      </c>
      <c r="E31" s="14" t="s">
        <v>12</v>
      </c>
      <c r="F31" s="17">
        <v>204000</v>
      </c>
      <c r="G31" s="14" t="s">
        <v>22</v>
      </c>
      <c r="H31" s="18"/>
    </row>
    <row r="32" spans="1:8" x14ac:dyDescent="0.2">
      <c r="A32" s="9">
        <v>13</v>
      </c>
      <c r="B32" s="10" t="s">
        <v>46</v>
      </c>
      <c r="C32" s="9" t="s">
        <v>24</v>
      </c>
      <c r="D32" s="11" t="s">
        <v>47</v>
      </c>
      <c r="E32" s="9" t="s">
        <v>12</v>
      </c>
      <c r="F32" s="12">
        <v>196000</v>
      </c>
      <c r="G32" s="9" t="s">
        <v>22</v>
      </c>
      <c r="H32" s="13"/>
    </row>
    <row r="33" spans="1:8" x14ac:dyDescent="0.2">
      <c r="A33" s="14">
        <v>14</v>
      </c>
      <c r="B33" s="15" t="s">
        <v>48</v>
      </c>
      <c r="C33" s="14" t="s">
        <v>24</v>
      </c>
      <c r="D33" s="16" t="s">
        <v>49</v>
      </c>
      <c r="E33" s="14" t="s">
        <v>17</v>
      </c>
      <c r="F33" s="17">
        <v>189700</v>
      </c>
      <c r="G33" s="14" t="s">
        <v>22</v>
      </c>
      <c r="H33" s="18"/>
    </row>
    <row r="34" spans="1:8" x14ac:dyDescent="0.2">
      <c r="A34" s="9">
        <v>15</v>
      </c>
      <c r="B34" s="10" t="s">
        <v>50</v>
      </c>
      <c r="C34" s="9" t="s">
        <v>24</v>
      </c>
      <c r="D34" s="11" t="s">
        <v>51</v>
      </c>
      <c r="E34" s="9" t="s">
        <v>12</v>
      </c>
      <c r="F34" s="12">
        <v>187000</v>
      </c>
      <c r="G34" s="9" t="s">
        <v>22</v>
      </c>
      <c r="H34" s="13"/>
    </row>
    <row r="35" spans="1:8" x14ac:dyDescent="0.2">
      <c r="A35" s="14">
        <v>16</v>
      </c>
      <c r="B35" s="15" t="s">
        <v>52</v>
      </c>
      <c r="C35" s="14" t="s">
        <v>24</v>
      </c>
      <c r="D35" s="16" t="s">
        <v>53</v>
      </c>
      <c r="E35" s="14" t="s">
        <v>12</v>
      </c>
      <c r="F35" s="17">
        <v>181000</v>
      </c>
      <c r="G35" s="14" t="s">
        <v>22</v>
      </c>
      <c r="H35" s="18"/>
    </row>
    <row r="36" spans="1:8" x14ac:dyDescent="0.2">
      <c r="A36" s="9">
        <v>17</v>
      </c>
      <c r="B36" s="10" t="s">
        <v>54</v>
      </c>
      <c r="C36" s="9" t="s">
        <v>24</v>
      </c>
      <c r="D36" s="11" t="s">
        <v>55</v>
      </c>
      <c r="E36" s="9" t="s">
        <v>12</v>
      </c>
      <c r="F36" s="12">
        <v>167000</v>
      </c>
      <c r="G36" s="9" t="s">
        <v>22</v>
      </c>
      <c r="H36" s="13"/>
    </row>
    <row r="37" spans="1:8" x14ac:dyDescent="0.2">
      <c r="A37" s="14">
        <v>18</v>
      </c>
      <c r="B37" s="15" t="s">
        <v>56</v>
      </c>
      <c r="C37" s="14" t="s">
        <v>10</v>
      </c>
      <c r="D37" s="16" t="s">
        <v>57</v>
      </c>
      <c r="E37" s="14" t="s">
        <v>12</v>
      </c>
      <c r="F37" s="17">
        <v>167000</v>
      </c>
      <c r="G37" s="14" t="s">
        <v>22</v>
      </c>
      <c r="H37" s="18"/>
    </row>
    <row r="38" spans="1:8" x14ac:dyDescent="0.2">
      <c r="A38" s="9">
        <v>19</v>
      </c>
      <c r="B38" s="10" t="s">
        <v>58</v>
      </c>
      <c r="C38" s="9" t="s">
        <v>10</v>
      </c>
      <c r="D38" s="11" t="s">
        <v>59</v>
      </c>
      <c r="E38" s="9" t="s">
        <v>12</v>
      </c>
      <c r="F38" s="12">
        <v>154000</v>
      </c>
      <c r="G38" s="9" t="s">
        <v>22</v>
      </c>
      <c r="H38" s="13"/>
    </row>
    <row r="39" spans="1:8" x14ac:dyDescent="0.2">
      <c r="A39" s="14">
        <v>20</v>
      </c>
      <c r="B39" s="15" t="s">
        <v>60</v>
      </c>
      <c r="C39" s="14" t="s">
        <v>10</v>
      </c>
      <c r="D39" s="16" t="s">
        <v>61</v>
      </c>
      <c r="E39" s="14" t="s">
        <v>12</v>
      </c>
      <c r="F39" s="17">
        <v>143000</v>
      </c>
      <c r="G39" s="14" t="s">
        <v>22</v>
      </c>
      <c r="H39" s="18"/>
    </row>
    <row r="40" spans="1:8" x14ac:dyDescent="0.2">
      <c r="A40" s="9">
        <v>21</v>
      </c>
      <c r="B40" s="10" t="s">
        <v>62</v>
      </c>
      <c r="C40" s="9" t="s">
        <v>24</v>
      </c>
      <c r="D40" s="11" t="s">
        <v>63</v>
      </c>
      <c r="E40" s="9" t="s">
        <v>12</v>
      </c>
      <c r="F40" s="12">
        <v>140000</v>
      </c>
      <c r="G40" s="9" t="s">
        <v>22</v>
      </c>
      <c r="H40" s="13"/>
    </row>
    <row r="41" spans="1:8" x14ac:dyDescent="0.2">
      <c r="A41" s="14">
        <v>22</v>
      </c>
      <c r="B41" s="15" t="s">
        <v>64</v>
      </c>
      <c r="C41" s="14" t="s">
        <v>24</v>
      </c>
      <c r="D41" s="16" t="s">
        <v>65</v>
      </c>
      <c r="E41" s="14" t="s">
        <v>12</v>
      </c>
      <c r="F41" s="17">
        <v>139000</v>
      </c>
      <c r="G41" s="14" t="s">
        <v>22</v>
      </c>
      <c r="H41" s="18"/>
    </row>
    <row r="42" spans="1:8" x14ac:dyDescent="0.2">
      <c r="A42" s="9">
        <v>23</v>
      </c>
      <c r="B42" s="10" t="s">
        <v>66</v>
      </c>
      <c r="C42" s="9" t="s">
        <v>24</v>
      </c>
      <c r="D42" s="11" t="s">
        <v>67</v>
      </c>
      <c r="E42" s="9" t="s">
        <v>12</v>
      </c>
      <c r="F42" s="12">
        <v>132000</v>
      </c>
      <c r="G42" s="9" t="s">
        <v>22</v>
      </c>
      <c r="H42" s="13"/>
    </row>
    <row r="43" spans="1:8" x14ac:dyDescent="0.2">
      <c r="A43" s="14">
        <v>24</v>
      </c>
      <c r="B43" s="15" t="s">
        <v>68</v>
      </c>
      <c r="C43" s="14" t="s">
        <v>10</v>
      </c>
      <c r="D43" s="16" t="s">
        <v>69</v>
      </c>
      <c r="E43" s="14" t="s">
        <v>12</v>
      </c>
      <c r="F43" s="17">
        <v>128000</v>
      </c>
      <c r="G43" s="14" t="s">
        <v>22</v>
      </c>
      <c r="H43" s="18"/>
    </row>
    <row r="44" spans="1:8" x14ac:dyDescent="0.2">
      <c r="A44" s="9">
        <v>25</v>
      </c>
      <c r="B44" s="10" t="s">
        <v>70</v>
      </c>
      <c r="C44" s="9" t="s">
        <v>10</v>
      </c>
      <c r="D44" s="11" t="s">
        <v>71</v>
      </c>
      <c r="E44" s="9" t="s">
        <v>12</v>
      </c>
      <c r="F44" s="12">
        <v>121000</v>
      </c>
      <c r="G44" s="9" t="s">
        <v>22</v>
      </c>
      <c r="H44" s="13"/>
    </row>
    <row r="45" spans="1:8" x14ac:dyDescent="0.2">
      <c r="A45" s="14">
        <v>26</v>
      </c>
      <c r="B45" s="15" t="s">
        <v>72</v>
      </c>
      <c r="C45" s="14" t="s">
        <v>24</v>
      </c>
      <c r="D45" s="16" t="s">
        <v>73</v>
      </c>
      <c r="E45" s="14" t="s">
        <v>12</v>
      </c>
      <c r="F45" s="17">
        <v>118000</v>
      </c>
      <c r="G45" s="14" t="s">
        <v>22</v>
      </c>
      <c r="H45" s="18"/>
    </row>
    <row r="46" spans="1:8" x14ac:dyDescent="0.2">
      <c r="A46" s="9">
        <v>27</v>
      </c>
      <c r="B46" s="10" t="s">
        <v>74</v>
      </c>
      <c r="C46" s="9" t="s">
        <v>10</v>
      </c>
      <c r="D46" s="11" t="s">
        <v>75</v>
      </c>
      <c r="E46" s="9" t="s">
        <v>17</v>
      </c>
      <c r="F46" s="12">
        <v>112200</v>
      </c>
      <c r="G46" s="9" t="s">
        <v>22</v>
      </c>
      <c r="H46" s="13"/>
    </row>
    <row r="47" spans="1:8" x14ac:dyDescent="0.2">
      <c r="A47" s="14">
        <v>28</v>
      </c>
      <c r="B47" s="15" t="s">
        <v>76</v>
      </c>
      <c r="C47" s="14" t="s">
        <v>24</v>
      </c>
      <c r="D47" s="16" t="s">
        <v>77</v>
      </c>
      <c r="E47" s="14" t="s">
        <v>12</v>
      </c>
      <c r="F47" s="17">
        <v>112000</v>
      </c>
      <c r="G47" s="14" t="s">
        <v>22</v>
      </c>
      <c r="H47" s="18"/>
    </row>
    <row r="48" spans="1:8" x14ac:dyDescent="0.2">
      <c r="A48" s="9">
        <v>29</v>
      </c>
      <c r="B48" s="10" t="s">
        <v>78</v>
      </c>
      <c r="C48" s="9" t="s">
        <v>10</v>
      </c>
      <c r="D48" s="11" t="s">
        <v>79</v>
      </c>
      <c r="E48" s="9" t="s">
        <v>12</v>
      </c>
      <c r="F48" s="12">
        <v>106000</v>
      </c>
      <c r="G48" s="9" t="s">
        <v>22</v>
      </c>
      <c r="H48" s="13"/>
    </row>
    <row r="49" spans="1:8" x14ac:dyDescent="0.2">
      <c r="A49" s="14">
        <v>30</v>
      </c>
      <c r="B49" s="15" t="s">
        <v>80</v>
      </c>
      <c r="C49" s="14" t="s">
        <v>10</v>
      </c>
      <c r="D49" s="16" t="s">
        <v>81</v>
      </c>
      <c r="E49" s="14" t="s">
        <v>12</v>
      </c>
      <c r="F49" s="17">
        <v>106000</v>
      </c>
      <c r="G49" s="14" t="s">
        <v>22</v>
      </c>
      <c r="H49" s="18"/>
    </row>
    <row r="50" spans="1:8" x14ac:dyDescent="0.2">
      <c r="A50" s="9">
        <v>31</v>
      </c>
      <c r="B50" s="10" t="s">
        <v>82</v>
      </c>
      <c r="C50" s="9" t="s">
        <v>24</v>
      </c>
      <c r="D50" s="11" t="s">
        <v>83</v>
      </c>
      <c r="E50" s="9" t="s">
        <v>12</v>
      </c>
      <c r="F50" s="12">
        <v>101000</v>
      </c>
      <c r="G50" s="9" t="s">
        <v>22</v>
      </c>
      <c r="H50" s="13"/>
    </row>
    <row r="51" spans="1:8" x14ac:dyDescent="0.2">
      <c r="A51" s="14">
        <v>32</v>
      </c>
      <c r="B51" s="15" t="s">
        <v>84</v>
      </c>
      <c r="C51" s="14" t="s">
        <v>24</v>
      </c>
      <c r="D51" s="16" t="s">
        <v>85</v>
      </c>
      <c r="E51" s="14" t="s">
        <v>12</v>
      </c>
      <c r="F51" s="17">
        <v>101000</v>
      </c>
      <c r="G51" s="14" t="s">
        <v>22</v>
      </c>
      <c r="H51" s="18"/>
    </row>
    <row r="52" spans="1:8" x14ac:dyDescent="0.2">
      <c r="A52" s="9">
        <v>33</v>
      </c>
      <c r="B52" s="10" t="s">
        <v>86</v>
      </c>
      <c r="C52" s="9" t="s">
        <v>24</v>
      </c>
      <c r="D52" s="11" t="s">
        <v>87</v>
      </c>
      <c r="E52" s="9" t="s">
        <v>12</v>
      </c>
      <c r="F52" s="12">
        <v>97500</v>
      </c>
      <c r="G52" s="9" t="s">
        <v>22</v>
      </c>
      <c r="H52" s="13"/>
    </row>
    <row r="53" spans="1:8" x14ac:dyDescent="0.2">
      <c r="A53" s="14">
        <v>34</v>
      </c>
      <c r="B53" s="15" t="s">
        <v>88</v>
      </c>
      <c r="C53" s="14" t="s">
        <v>24</v>
      </c>
      <c r="D53" s="16" t="s">
        <v>89</v>
      </c>
      <c r="E53" s="14" t="s">
        <v>12</v>
      </c>
      <c r="F53" s="17">
        <v>94900</v>
      </c>
      <c r="G53" s="14" t="s">
        <v>22</v>
      </c>
      <c r="H53" s="18"/>
    </row>
    <row r="54" spans="1:8" x14ac:dyDescent="0.2">
      <c r="A54" s="9">
        <v>35</v>
      </c>
      <c r="B54" s="10" t="s">
        <v>90</v>
      </c>
      <c r="C54" s="9" t="s">
        <v>10</v>
      </c>
      <c r="D54" s="11" t="s">
        <v>91</v>
      </c>
      <c r="E54" s="9" t="s">
        <v>12</v>
      </c>
      <c r="F54" s="12">
        <v>94300</v>
      </c>
      <c r="G54" s="9" t="s">
        <v>22</v>
      </c>
      <c r="H54" s="13"/>
    </row>
    <row r="55" spans="1:8" x14ac:dyDescent="0.2">
      <c r="A55" s="14">
        <v>36</v>
      </c>
      <c r="B55" s="15" t="s">
        <v>92</v>
      </c>
      <c r="C55" s="14" t="s">
        <v>24</v>
      </c>
      <c r="D55" s="16" t="s">
        <v>93</v>
      </c>
      <c r="E55" s="14" t="s">
        <v>12</v>
      </c>
      <c r="F55" s="17">
        <v>92700</v>
      </c>
      <c r="G55" s="14" t="s">
        <v>22</v>
      </c>
      <c r="H55" s="18"/>
    </row>
    <row r="56" spans="1:8" x14ac:dyDescent="0.2">
      <c r="A56" s="9">
        <v>37</v>
      </c>
      <c r="B56" s="10" t="s">
        <v>94</v>
      </c>
      <c r="C56" s="9" t="s">
        <v>24</v>
      </c>
      <c r="D56" s="11" t="s">
        <v>95</v>
      </c>
      <c r="E56" s="9" t="s">
        <v>12</v>
      </c>
      <c r="F56" s="12">
        <v>92000</v>
      </c>
      <c r="G56" s="9" t="s">
        <v>22</v>
      </c>
      <c r="H56" s="13"/>
    </row>
    <row r="57" spans="1:8" x14ac:dyDescent="0.2">
      <c r="A57" s="14">
        <v>38</v>
      </c>
      <c r="B57" s="15" t="s">
        <v>96</v>
      </c>
      <c r="C57" s="14" t="s">
        <v>10</v>
      </c>
      <c r="D57" s="16" t="s">
        <v>97</v>
      </c>
      <c r="E57" s="14" t="s">
        <v>12</v>
      </c>
      <c r="F57" s="17">
        <v>91400</v>
      </c>
      <c r="G57" s="14" t="s">
        <v>22</v>
      </c>
      <c r="H57" s="18"/>
    </row>
    <row r="58" spans="1:8" x14ac:dyDescent="0.2">
      <c r="A58" s="9">
        <v>39</v>
      </c>
      <c r="B58" s="10" t="s">
        <v>98</v>
      </c>
      <c r="C58" s="9" t="s">
        <v>24</v>
      </c>
      <c r="D58" s="11" t="s">
        <v>99</v>
      </c>
      <c r="E58" s="9" t="s">
        <v>12</v>
      </c>
      <c r="F58" s="12">
        <v>89400</v>
      </c>
      <c r="G58" s="9" t="s">
        <v>22</v>
      </c>
      <c r="H58" s="13"/>
    </row>
    <row r="59" spans="1:8" x14ac:dyDescent="0.2">
      <c r="A59" s="14">
        <v>40</v>
      </c>
      <c r="B59" s="15" t="s">
        <v>100</v>
      </c>
      <c r="C59" s="14" t="s">
        <v>24</v>
      </c>
      <c r="D59" s="16" t="s">
        <v>101</v>
      </c>
      <c r="E59" s="14" t="s">
        <v>12</v>
      </c>
      <c r="F59" s="17">
        <v>88800</v>
      </c>
      <c r="G59" s="14" t="s">
        <v>22</v>
      </c>
      <c r="H59" s="18"/>
    </row>
    <row r="60" spans="1:8" x14ac:dyDescent="0.2">
      <c r="A60" s="9">
        <v>41</v>
      </c>
      <c r="B60" s="10" t="s">
        <v>102</v>
      </c>
      <c r="C60" s="9" t="s">
        <v>10</v>
      </c>
      <c r="D60" s="11" t="s">
        <v>103</v>
      </c>
      <c r="E60" s="9" t="s">
        <v>12</v>
      </c>
      <c r="F60" s="12">
        <v>87900</v>
      </c>
      <c r="G60" s="9" t="s">
        <v>22</v>
      </c>
      <c r="H60" s="13"/>
    </row>
    <row r="61" spans="1:8" x14ac:dyDescent="0.2">
      <c r="A61" s="14">
        <v>42</v>
      </c>
      <c r="B61" s="15" t="s">
        <v>104</v>
      </c>
      <c r="C61" s="14" t="s">
        <v>24</v>
      </c>
      <c r="D61" s="16" t="s">
        <v>105</v>
      </c>
      <c r="E61" s="14" t="s">
        <v>12</v>
      </c>
      <c r="F61" s="17">
        <v>87800</v>
      </c>
      <c r="G61" s="14" t="s">
        <v>22</v>
      </c>
      <c r="H61" s="18"/>
    </row>
    <row r="62" spans="1:8" x14ac:dyDescent="0.2">
      <c r="A62" s="9">
        <v>43</v>
      </c>
      <c r="B62" s="10" t="s">
        <v>106</v>
      </c>
      <c r="C62" s="9" t="s">
        <v>24</v>
      </c>
      <c r="D62" s="11" t="s">
        <v>107</v>
      </c>
      <c r="E62" s="9" t="s">
        <v>17</v>
      </c>
      <c r="F62" s="12">
        <v>86200</v>
      </c>
      <c r="G62" s="9" t="s">
        <v>22</v>
      </c>
      <c r="H62" s="13"/>
    </row>
    <row r="63" spans="1:8" x14ac:dyDescent="0.2">
      <c r="A63" s="14">
        <v>44</v>
      </c>
      <c r="B63" s="15" t="s">
        <v>108</v>
      </c>
      <c r="C63" s="14" t="s">
        <v>10</v>
      </c>
      <c r="D63" s="16" t="s">
        <v>109</v>
      </c>
      <c r="E63" s="14" t="s">
        <v>12</v>
      </c>
      <c r="F63" s="17">
        <v>85100</v>
      </c>
      <c r="G63" s="14" t="s">
        <v>22</v>
      </c>
      <c r="H63" s="18"/>
    </row>
    <row r="64" spans="1:8" x14ac:dyDescent="0.2">
      <c r="A64" s="9">
        <v>45</v>
      </c>
      <c r="B64" s="10" t="s">
        <v>110</v>
      </c>
      <c r="C64" s="9" t="s">
        <v>24</v>
      </c>
      <c r="D64" s="11" t="s">
        <v>111</v>
      </c>
      <c r="E64" s="9" t="s">
        <v>17</v>
      </c>
      <c r="F64" s="12">
        <v>83800</v>
      </c>
      <c r="G64" s="9" t="s">
        <v>22</v>
      </c>
      <c r="H64" s="13"/>
    </row>
    <row r="65" spans="1:8" x14ac:dyDescent="0.2">
      <c r="A65" s="14">
        <v>46</v>
      </c>
      <c r="B65" s="15" t="s">
        <v>112</v>
      </c>
      <c r="C65" s="14" t="s">
        <v>24</v>
      </c>
      <c r="D65" s="16" t="s">
        <v>113</v>
      </c>
      <c r="E65" s="14" t="s">
        <v>12</v>
      </c>
      <c r="F65" s="17">
        <v>83800</v>
      </c>
      <c r="G65" s="14" t="s">
        <v>22</v>
      </c>
      <c r="H65" s="18"/>
    </row>
    <row r="66" spans="1:8" x14ac:dyDescent="0.2">
      <c r="A66" s="9">
        <v>47</v>
      </c>
      <c r="B66" s="10" t="s">
        <v>114</v>
      </c>
      <c r="C66" s="9" t="s">
        <v>10</v>
      </c>
      <c r="D66" s="11" t="s">
        <v>115</v>
      </c>
      <c r="E66" s="9" t="s">
        <v>17</v>
      </c>
      <c r="F66" s="12">
        <v>81700</v>
      </c>
      <c r="G66" s="9" t="s">
        <v>22</v>
      </c>
      <c r="H66" s="13"/>
    </row>
    <row r="67" spans="1:8" x14ac:dyDescent="0.2">
      <c r="A67" s="14">
        <v>48</v>
      </c>
      <c r="B67" s="15" t="s">
        <v>116</v>
      </c>
      <c r="C67" s="14" t="s">
        <v>24</v>
      </c>
      <c r="D67" s="16" t="s">
        <v>117</v>
      </c>
      <c r="E67" s="14" t="s">
        <v>12</v>
      </c>
      <c r="F67" s="17">
        <v>79100</v>
      </c>
      <c r="G67" s="14" t="s">
        <v>22</v>
      </c>
      <c r="H67" s="18"/>
    </row>
    <row r="68" spans="1:8" x14ac:dyDescent="0.2">
      <c r="A68" s="9">
        <v>49</v>
      </c>
      <c r="B68" s="10" t="s">
        <v>118</v>
      </c>
      <c r="C68" s="9" t="s">
        <v>10</v>
      </c>
      <c r="D68" s="11" t="s">
        <v>119</v>
      </c>
      <c r="E68" s="9" t="s">
        <v>12</v>
      </c>
      <c r="F68" s="12">
        <v>78800</v>
      </c>
      <c r="G68" s="9" t="s">
        <v>22</v>
      </c>
      <c r="H68" s="13"/>
    </row>
    <row r="69" spans="1:8" x14ac:dyDescent="0.2">
      <c r="A69" s="14">
        <v>50</v>
      </c>
      <c r="B69" s="15" t="s">
        <v>120</v>
      </c>
      <c r="C69" s="14" t="s">
        <v>24</v>
      </c>
      <c r="D69" s="16" t="s">
        <v>121</v>
      </c>
      <c r="E69" s="14" t="s">
        <v>12</v>
      </c>
      <c r="F69" s="17">
        <v>78400</v>
      </c>
      <c r="G69" s="14" t="s">
        <v>22</v>
      </c>
      <c r="H69" s="18"/>
    </row>
    <row r="70" spans="1:8" x14ac:dyDescent="0.2">
      <c r="A70" s="9">
        <v>51</v>
      </c>
      <c r="B70" s="10" t="s">
        <v>122</v>
      </c>
      <c r="C70" s="9" t="s">
        <v>24</v>
      </c>
      <c r="D70" s="11" t="s">
        <v>123</v>
      </c>
      <c r="E70" s="9" t="s">
        <v>12</v>
      </c>
      <c r="F70" s="12">
        <v>75400</v>
      </c>
      <c r="G70" s="9" t="s">
        <v>22</v>
      </c>
      <c r="H70" s="13"/>
    </row>
    <row r="71" spans="1:8" x14ac:dyDescent="0.2">
      <c r="A71" s="14">
        <v>52</v>
      </c>
      <c r="B71" s="15" t="s">
        <v>124</v>
      </c>
      <c r="C71" s="14" t="s">
        <v>24</v>
      </c>
      <c r="D71" s="16" t="s">
        <v>125</v>
      </c>
      <c r="E71" s="14" t="s">
        <v>12</v>
      </c>
      <c r="F71" s="17">
        <v>75100</v>
      </c>
      <c r="G71" s="14" t="s">
        <v>22</v>
      </c>
      <c r="H71" s="18"/>
    </row>
    <row r="72" spans="1:8" x14ac:dyDescent="0.2">
      <c r="A72" s="9">
        <v>53</v>
      </c>
      <c r="B72" s="10" t="s">
        <v>126</v>
      </c>
      <c r="C72" s="9" t="s">
        <v>24</v>
      </c>
      <c r="D72" s="11" t="s">
        <v>127</v>
      </c>
      <c r="E72" s="9" t="s">
        <v>12</v>
      </c>
      <c r="F72" s="12">
        <v>75000</v>
      </c>
      <c r="G72" s="9" t="s">
        <v>22</v>
      </c>
      <c r="H72" s="13"/>
    </row>
    <row r="73" spans="1:8" x14ac:dyDescent="0.2">
      <c r="A73" s="14">
        <v>54</v>
      </c>
      <c r="B73" s="15" t="s">
        <v>128</v>
      </c>
      <c r="C73" s="14" t="s">
        <v>10</v>
      </c>
      <c r="D73" s="16" t="s">
        <v>129</v>
      </c>
      <c r="E73" s="14" t="s">
        <v>17</v>
      </c>
      <c r="F73" s="17">
        <v>74500</v>
      </c>
      <c r="G73" s="14" t="s">
        <v>22</v>
      </c>
      <c r="H73" s="18"/>
    </row>
    <row r="74" spans="1:8" x14ac:dyDescent="0.2">
      <c r="A74" s="9">
        <v>55</v>
      </c>
      <c r="B74" s="10" t="s">
        <v>130</v>
      </c>
      <c r="C74" s="9" t="s">
        <v>10</v>
      </c>
      <c r="D74" s="11" t="s">
        <v>131</v>
      </c>
      <c r="E74" s="9" t="s">
        <v>12</v>
      </c>
      <c r="F74" s="12">
        <v>69500</v>
      </c>
      <c r="G74" s="9" t="s">
        <v>22</v>
      </c>
      <c r="H74" s="13"/>
    </row>
    <row r="75" spans="1:8" x14ac:dyDescent="0.2">
      <c r="A75" s="14">
        <v>56</v>
      </c>
      <c r="B75" s="15" t="s">
        <v>132</v>
      </c>
      <c r="C75" s="14" t="s">
        <v>24</v>
      </c>
      <c r="D75" s="16" t="s">
        <v>133</v>
      </c>
      <c r="E75" s="14" t="s">
        <v>12</v>
      </c>
      <c r="F75" s="17">
        <v>68600</v>
      </c>
      <c r="G75" s="14" t="s">
        <v>22</v>
      </c>
      <c r="H75" s="18"/>
    </row>
    <row r="76" spans="1:8" x14ac:dyDescent="0.2">
      <c r="A76" s="9">
        <v>57</v>
      </c>
      <c r="B76" s="10" t="s">
        <v>134</v>
      </c>
      <c r="C76" s="9" t="s">
        <v>24</v>
      </c>
      <c r="D76" s="11" t="s">
        <v>135</v>
      </c>
      <c r="E76" s="9" t="s">
        <v>12</v>
      </c>
      <c r="F76" s="12">
        <v>68100</v>
      </c>
      <c r="G76" s="9" t="s">
        <v>22</v>
      </c>
      <c r="H76" s="13"/>
    </row>
    <row r="77" spans="1:8" x14ac:dyDescent="0.2">
      <c r="A77" s="14">
        <v>58</v>
      </c>
      <c r="B77" s="15" t="s">
        <v>136</v>
      </c>
      <c r="C77" s="14" t="s">
        <v>24</v>
      </c>
      <c r="D77" s="16" t="s">
        <v>137</v>
      </c>
      <c r="E77" s="14" t="s">
        <v>12</v>
      </c>
      <c r="F77" s="17">
        <v>67800</v>
      </c>
      <c r="G77" s="14" t="s">
        <v>22</v>
      </c>
      <c r="H77" s="18"/>
    </row>
    <row r="78" spans="1:8" x14ac:dyDescent="0.2">
      <c r="A78" s="9">
        <v>59</v>
      </c>
      <c r="B78" s="10" t="s">
        <v>138</v>
      </c>
      <c r="C78" s="9" t="s">
        <v>24</v>
      </c>
      <c r="D78" s="11" t="s">
        <v>139</v>
      </c>
      <c r="E78" s="9" t="s">
        <v>12</v>
      </c>
      <c r="F78" s="12">
        <v>67800</v>
      </c>
      <c r="G78" s="9" t="s">
        <v>22</v>
      </c>
      <c r="H78" s="13"/>
    </row>
    <row r="79" spans="1:8" x14ac:dyDescent="0.2">
      <c r="A79" s="14">
        <v>60</v>
      </c>
      <c r="B79" s="15" t="s">
        <v>140</v>
      </c>
      <c r="C79" s="14" t="s">
        <v>24</v>
      </c>
      <c r="D79" s="16" t="s">
        <v>141</v>
      </c>
      <c r="E79" s="14" t="s">
        <v>12</v>
      </c>
      <c r="F79" s="17">
        <v>63000</v>
      </c>
      <c r="G79" s="14" t="s">
        <v>22</v>
      </c>
      <c r="H79" s="18"/>
    </row>
    <row r="80" spans="1:8" x14ac:dyDescent="0.2">
      <c r="A80" s="9">
        <v>61</v>
      </c>
      <c r="B80" s="10" t="s">
        <v>142</v>
      </c>
      <c r="C80" s="9" t="s">
        <v>10</v>
      </c>
      <c r="D80" s="11" t="s">
        <v>143</v>
      </c>
      <c r="E80" s="9" t="s">
        <v>12</v>
      </c>
      <c r="F80" s="12">
        <v>62200</v>
      </c>
      <c r="G80" s="9" t="s">
        <v>22</v>
      </c>
      <c r="H80" s="13"/>
    </row>
    <row r="81" spans="1:8" x14ac:dyDescent="0.2">
      <c r="A81" s="14">
        <v>62</v>
      </c>
      <c r="B81" s="15" t="s">
        <v>144</v>
      </c>
      <c r="C81" s="14" t="s">
        <v>10</v>
      </c>
      <c r="D81" s="16" t="s">
        <v>145</v>
      </c>
      <c r="E81" s="14" t="s">
        <v>12</v>
      </c>
      <c r="F81" s="17">
        <v>61600</v>
      </c>
      <c r="G81" s="14" t="s">
        <v>22</v>
      </c>
      <c r="H81" s="18"/>
    </row>
    <row r="82" spans="1:8" x14ac:dyDescent="0.2">
      <c r="A82" s="9">
        <v>63</v>
      </c>
      <c r="B82" s="10" t="s">
        <v>146</v>
      </c>
      <c r="C82" s="9" t="s">
        <v>24</v>
      </c>
      <c r="D82" s="11" t="s">
        <v>147</v>
      </c>
      <c r="E82" s="9" t="s">
        <v>12</v>
      </c>
      <c r="F82" s="12">
        <v>60500</v>
      </c>
      <c r="G82" s="9" t="s">
        <v>22</v>
      </c>
      <c r="H82" s="13"/>
    </row>
    <row r="83" spans="1:8" x14ac:dyDescent="0.2">
      <c r="A83" s="14">
        <v>64</v>
      </c>
      <c r="B83" s="15" t="s">
        <v>148</v>
      </c>
      <c r="C83" s="14" t="s">
        <v>10</v>
      </c>
      <c r="D83" s="16" t="s">
        <v>149</v>
      </c>
      <c r="E83" s="14" t="s">
        <v>12</v>
      </c>
      <c r="F83" s="17">
        <v>60400</v>
      </c>
      <c r="G83" s="14" t="s">
        <v>22</v>
      </c>
      <c r="H83" s="18"/>
    </row>
    <row r="84" spans="1:8" x14ac:dyDescent="0.2">
      <c r="A84" s="9">
        <v>65</v>
      </c>
      <c r="B84" s="10" t="s">
        <v>150</v>
      </c>
      <c r="C84" s="9" t="s">
        <v>10</v>
      </c>
      <c r="D84" s="11" t="s">
        <v>151</v>
      </c>
      <c r="E84" s="9" t="s">
        <v>12</v>
      </c>
      <c r="F84" s="12">
        <v>57300</v>
      </c>
      <c r="G84" s="9" t="s">
        <v>22</v>
      </c>
      <c r="H84" s="13"/>
    </row>
    <row r="85" spans="1:8" x14ac:dyDescent="0.2">
      <c r="A85" s="14">
        <v>66</v>
      </c>
      <c r="B85" s="15" t="s">
        <v>152</v>
      </c>
      <c r="C85" s="14" t="s">
        <v>24</v>
      </c>
      <c r="D85" s="16" t="s">
        <v>153</v>
      </c>
      <c r="E85" s="14" t="s">
        <v>17</v>
      </c>
      <c r="F85" s="17">
        <v>57000</v>
      </c>
      <c r="G85" s="14" t="s">
        <v>22</v>
      </c>
      <c r="H85" s="18"/>
    </row>
    <row r="86" spans="1:8" x14ac:dyDescent="0.2">
      <c r="A86" s="9">
        <v>67</v>
      </c>
      <c r="B86" s="10" t="s">
        <v>154</v>
      </c>
      <c r="C86" s="9" t="s">
        <v>24</v>
      </c>
      <c r="D86" s="11" t="s">
        <v>155</v>
      </c>
      <c r="E86" s="9" t="s">
        <v>12</v>
      </c>
      <c r="F86" s="12">
        <v>56600</v>
      </c>
      <c r="G86" s="9" t="s">
        <v>22</v>
      </c>
      <c r="H86" s="13"/>
    </row>
    <row r="87" spans="1:8" x14ac:dyDescent="0.2">
      <c r="A87" s="14">
        <v>68</v>
      </c>
      <c r="B87" s="15" t="s">
        <v>156</v>
      </c>
      <c r="C87" s="14" t="s">
        <v>24</v>
      </c>
      <c r="D87" s="16" t="s">
        <v>157</v>
      </c>
      <c r="E87" s="14" t="s">
        <v>12</v>
      </c>
      <c r="F87" s="17">
        <v>54500</v>
      </c>
      <c r="G87" s="14" t="s">
        <v>22</v>
      </c>
      <c r="H87" s="18"/>
    </row>
    <row r="88" spans="1:8" x14ac:dyDescent="0.2">
      <c r="A88" s="9">
        <v>69</v>
      </c>
      <c r="B88" s="10" t="s">
        <v>158</v>
      </c>
      <c r="C88" s="9" t="s">
        <v>10</v>
      </c>
      <c r="D88" s="11" t="s">
        <v>159</v>
      </c>
      <c r="E88" s="9" t="s">
        <v>12</v>
      </c>
      <c r="F88" s="12">
        <v>52800</v>
      </c>
      <c r="G88" s="9" t="s">
        <v>22</v>
      </c>
      <c r="H88" s="13"/>
    </row>
    <row r="89" spans="1:8" x14ac:dyDescent="0.2">
      <c r="A89" s="14">
        <v>70</v>
      </c>
      <c r="B89" s="15" t="s">
        <v>160</v>
      </c>
      <c r="C89" s="14" t="s">
        <v>10</v>
      </c>
      <c r="D89" s="16" t="s">
        <v>161</v>
      </c>
      <c r="E89" s="14" t="s">
        <v>12</v>
      </c>
      <c r="F89" s="17">
        <v>51200</v>
      </c>
      <c r="G89" s="14" t="s">
        <v>22</v>
      </c>
      <c r="H89" s="18"/>
    </row>
  </sheetData>
  <autoFilter ref="A19:H89" xr:uid="{00000000-0009-0000-0000-000003000000}"/>
  <mergeCells count="19">
    <mergeCell ref="A13:B13"/>
    <mergeCell ref="A14:B14"/>
    <mergeCell ref="E14:H14"/>
    <mergeCell ref="A15:B15"/>
    <mergeCell ref="A16:B16"/>
    <mergeCell ref="A10:B10"/>
    <mergeCell ref="E10:F12"/>
    <mergeCell ref="G10:H12"/>
    <mergeCell ref="A11:B11"/>
    <mergeCell ref="A12:B12"/>
    <mergeCell ref="A1:H1"/>
    <mergeCell ref="A3:H4"/>
    <mergeCell ref="A6:C6"/>
    <mergeCell ref="E6:H6"/>
    <mergeCell ref="A7:B7"/>
    <mergeCell ref="E7:F9"/>
    <mergeCell ref="G7:H9"/>
    <mergeCell ref="A8:B8"/>
    <mergeCell ref="A9:B9"/>
  </mergeCells>
  <hyperlinks>
    <hyperlink ref="D20" r:id="rId1" xr:uid="{00000000-0004-0000-0300-000000000000}"/>
    <hyperlink ref="D21" r:id="rId2" xr:uid="{00000000-0004-0000-0300-000001000000}"/>
    <hyperlink ref="D22" r:id="rId3" xr:uid="{00000000-0004-0000-0300-000002000000}"/>
    <hyperlink ref="D23" r:id="rId4" xr:uid="{00000000-0004-0000-0300-000003000000}"/>
    <hyperlink ref="D24" r:id="rId5" xr:uid="{00000000-0004-0000-0300-000004000000}"/>
    <hyperlink ref="D25" r:id="rId6" xr:uid="{00000000-0004-0000-0300-000005000000}"/>
    <hyperlink ref="D26" r:id="rId7" xr:uid="{00000000-0004-0000-0300-000006000000}"/>
    <hyperlink ref="D27" r:id="rId8" xr:uid="{00000000-0004-0000-0300-000007000000}"/>
    <hyperlink ref="D28" r:id="rId9" xr:uid="{00000000-0004-0000-0300-000008000000}"/>
    <hyperlink ref="D29" r:id="rId10" xr:uid="{00000000-0004-0000-0300-000009000000}"/>
    <hyperlink ref="D30" r:id="rId11" xr:uid="{00000000-0004-0000-0300-00000A000000}"/>
    <hyperlink ref="D31" r:id="rId12" xr:uid="{00000000-0004-0000-0300-00000B000000}"/>
    <hyperlink ref="D32" r:id="rId13" xr:uid="{00000000-0004-0000-0300-00000C000000}"/>
    <hyperlink ref="D33" r:id="rId14" xr:uid="{00000000-0004-0000-0300-00000D000000}"/>
    <hyperlink ref="D34" r:id="rId15" xr:uid="{00000000-0004-0000-0300-00000E000000}"/>
    <hyperlink ref="D35" r:id="rId16" xr:uid="{00000000-0004-0000-0300-00000F000000}"/>
    <hyperlink ref="D36" r:id="rId17" xr:uid="{00000000-0004-0000-0300-000010000000}"/>
    <hyperlink ref="D37" r:id="rId18" xr:uid="{00000000-0004-0000-0300-000011000000}"/>
    <hyperlink ref="D38" r:id="rId19" xr:uid="{00000000-0004-0000-0300-000012000000}"/>
    <hyperlink ref="D39" r:id="rId20" xr:uid="{00000000-0004-0000-0300-000013000000}"/>
    <hyperlink ref="D40" r:id="rId21" xr:uid="{00000000-0004-0000-0300-000014000000}"/>
    <hyperlink ref="D41" r:id="rId22" xr:uid="{00000000-0004-0000-0300-000015000000}"/>
    <hyperlink ref="D42" r:id="rId23" xr:uid="{00000000-0004-0000-0300-000016000000}"/>
    <hyperlink ref="D43" r:id="rId24" xr:uid="{00000000-0004-0000-0300-000017000000}"/>
    <hyperlink ref="D44" r:id="rId25" xr:uid="{00000000-0004-0000-0300-000018000000}"/>
    <hyperlink ref="D45" r:id="rId26" xr:uid="{00000000-0004-0000-0300-000019000000}"/>
    <hyperlink ref="D46" r:id="rId27" xr:uid="{00000000-0004-0000-0300-00001A000000}"/>
    <hyperlink ref="D47" r:id="rId28" xr:uid="{00000000-0004-0000-0300-00001B000000}"/>
    <hyperlink ref="D48" r:id="rId29" xr:uid="{00000000-0004-0000-0300-00001C000000}"/>
    <hyperlink ref="D49" r:id="rId30" xr:uid="{00000000-0004-0000-0300-00001D000000}"/>
    <hyperlink ref="D50" r:id="rId31" xr:uid="{00000000-0004-0000-0300-00001E000000}"/>
    <hyperlink ref="D51" r:id="rId32" xr:uid="{00000000-0004-0000-0300-00001F000000}"/>
    <hyperlink ref="D52" r:id="rId33" xr:uid="{00000000-0004-0000-0300-000020000000}"/>
    <hyperlink ref="D53" r:id="rId34" xr:uid="{00000000-0004-0000-0300-000021000000}"/>
    <hyperlink ref="D54" r:id="rId35" xr:uid="{00000000-0004-0000-0300-000022000000}"/>
    <hyperlink ref="D55" r:id="rId36" xr:uid="{00000000-0004-0000-0300-000023000000}"/>
    <hyperlink ref="D56" r:id="rId37" xr:uid="{00000000-0004-0000-0300-000024000000}"/>
    <hyperlink ref="D57" r:id="rId38" xr:uid="{00000000-0004-0000-0300-000025000000}"/>
    <hyperlink ref="D58" r:id="rId39" xr:uid="{00000000-0004-0000-0300-000026000000}"/>
    <hyperlink ref="D59" r:id="rId40" xr:uid="{00000000-0004-0000-0300-000027000000}"/>
    <hyperlink ref="D60" r:id="rId41" xr:uid="{00000000-0004-0000-0300-000028000000}"/>
    <hyperlink ref="D61" r:id="rId42" xr:uid="{00000000-0004-0000-0300-000029000000}"/>
    <hyperlink ref="D62" r:id="rId43" xr:uid="{00000000-0004-0000-0300-00002A000000}"/>
    <hyperlink ref="D63" r:id="rId44" xr:uid="{00000000-0004-0000-0300-00002B000000}"/>
    <hyperlink ref="D64" r:id="rId45" xr:uid="{00000000-0004-0000-0300-00002C000000}"/>
    <hyperlink ref="D65" r:id="rId46" xr:uid="{00000000-0004-0000-0300-00002D000000}"/>
    <hyperlink ref="D66" r:id="rId47" xr:uid="{00000000-0004-0000-0300-00002E000000}"/>
    <hyperlink ref="D67" r:id="rId48" xr:uid="{00000000-0004-0000-0300-00002F000000}"/>
    <hyperlink ref="D68" r:id="rId49" xr:uid="{00000000-0004-0000-0300-000030000000}"/>
    <hyperlink ref="D69" r:id="rId50" xr:uid="{00000000-0004-0000-0300-000031000000}"/>
    <hyperlink ref="D70" r:id="rId51" xr:uid="{00000000-0004-0000-0300-000032000000}"/>
    <hyperlink ref="D71" r:id="rId52" xr:uid="{00000000-0004-0000-0300-000033000000}"/>
    <hyperlink ref="D72" r:id="rId53" xr:uid="{00000000-0004-0000-0300-000034000000}"/>
    <hyperlink ref="D73" r:id="rId54" xr:uid="{00000000-0004-0000-0300-000035000000}"/>
    <hyperlink ref="D74" r:id="rId55" xr:uid="{00000000-0004-0000-0300-000036000000}"/>
    <hyperlink ref="D75" r:id="rId56" xr:uid="{00000000-0004-0000-0300-000037000000}"/>
    <hyperlink ref="D76" r:id="rId57" xr:uid="{00000000-0004-0000-0300-000038000000}"/>
    <hyperlink ref="D77" r:id="rId58" xr:uid="{00000000-0004-0000-0300-000039000000}"/>
    <hyperlink ref="D78" r:id="rId59" xr:uid="{00000000-0004-0000-0300-00003A000000}"/>
    <hyperlink ref="D79" r:id="rId60" xr:uid="{00000000-0004-0000-0300-00003B000000}"/>
    <hyperlink ref="D80" r:id="rId61" xr:uid="{00000000-0004-0000-0300-00003C000000}"/>
    <hyperlink ref="D81" r:id="rId62" xr:uid="{00000000-0004-0000-0300-00003D000000}"/>
    <hyperlink ref="D82" r:id="rId63" xr:uid="{00000000-0004-0000-0300-00003E000000}"/>
    <hyperlink ref="D83" r:id="rId64" xr:uid="{00000000-0004-0000-0300-00003F000000}"/>
    <hyperlink ref="D84" r:id="rId65" xr:uid="{00000000-0004-0000-0300-000040000000}"/>
    <hyperlink ref="D85" r:id="rId66" xr:uid="{00000000-0004-0000-0300-000041000000}"/>
    <hyperlink ref="D86" r:id="rId67" xr:uid="{00000000-0004-0000-0300-000042000000}"/>
    <hyperlink ref="D87" r:id="rId68" xr:uid="{00000000-0004-0000-0300-000043000000}"/>
    <hyperlink ref="D88" r:id="rId69" xr:uid="{00000000-0004-0000-0300-000044000000}"/>
    <hyperlink ref="D89" r:id="rId70" xr:uid="{00000000-0004-0000-0300-00004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rightToLeft="1" tabSelected="1" zoomScaleNormal="100" workbookViewId="0">
      <pane ySplit="19" topLeftCell="A20" activePane="bottomLeft" state="frozen"/>
      <selection pane="bottomLeft" activeCell="D28" sqref="D28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4" customWidth="1"/>
    <col min="4" max="4" width="30" customWidth="1"/>
    <col min="5" max="7" width="15" customWidth="1"/>
    <col min="8" max="8" width="32" customWidth="1"/>
  </cols>
  <sheetData>
    <row r="1" spans="1:8" ht="31.5" customHeight="1" x14ac:dyDescent="0.2">
      <c r="A1" s="7" t="s">
        <v>363</v>
      </c>
      <c r="B1" s="7"/>
      <c r="C1" s="7"/>
      <c r="D1" s="7"/>
      <c r="E1" s="7"/>
      <c r="F1" s="7"/>
      <c r="G1" s="7"/>
      <c r="H1" s="7"/>
    </row>
    <row r="3" spans="1:8" ht="30" customHeight="1" x14ac:dyDescent="0.2">
      <c r="A3" s="6" t="s">
        <v>364</v>
      </c>
      <c r="B3" s="6"/>
      <c r="C3" s="6"/>
      <c r="D3" s="6"/>
      <c r="E3" s="6"/>
      <c r="F3" s="6"/>
      <c r="G3" s="6"/>
      <c r="H3" s="6"/>
    </row>
    <row r="4" spans="1:8" ht="19.5" customHeight="1" x14ac:dyDescent="0.2">
      <c r="A4" s="6"/>
      <c r="B4" s="6"/>
      <c r="C4" s="6"/>
      <c r="D4" s="6"/>
      <c r="E4" s="6"/>
      <c r="F4" s="6"/>
      <c r="G4" s="6"/>
      <c r="H4" s="6"/>
    </row>
    <row r="6" spans="1:8" ht="25.5" customHeight="1" x14ac:dyDescent="0.2">
      <c r="A6" s="5" t="s">
        <v>344</v>
      </c>
      <c r="B6" s="5"/>
      <c r="C6" s="5"/>
      <c r="E6" s="5" t="s">
        <v>345</v>
      </c>
      <c r="F6" s="5"/>
      <c r="G6" s="5"/>
      <c r="H6" s="5"/>
    </row>
    <row r="7" spans="1:8" ht="24" customHeight="1" x14ac:dyDescent="0.2">
      <c r="A7" s="4" t="s">
        <v>346</v>
      </c>
      <c r="B7" s="4"/>
      <c r="C7" s="19">
        <f>COUNTA(B20:B22)</f>
        <v>3</v>
      </c>
      <c r="E7" s="3" t="s">
        <v>347</v>
      </c>
      <c r="F7" s="3"/>
      <c r="G7" s="2">
        <v>2175</v>
      </c>
      <c r="H7" s="2"/>
    </row>
    <row r="8" spans="1:8" ht="24" customHeight="1" x14ac:dyDescent="0.2">
      <c r="A8" s="4" t="s">
        <v>348</v>
      </c>
      <c r="B8" s="4"/>
      <c r="C8" s="19">
        <f>COUNTIF(E20:E22,"Instagram")</f>
        <v>2</v>
      </c>
      <c r="E8" s="3"/>
      <c r="F8" s="3"/>
      <c r="G8" s="2"/>
      <c r="H8" s="2"/>
    </row>
    <row r="9" spans="1:8" ht="24" customHeight="1" x14ac:dyDescent="0.2">
      <c r="A9" s="4" t="s">
        <v>349</v>
      </c>
      <c r="B9" s="4"/>
      <c r="C9" s="19">
        <f>COUNTIF(E20:E22,"TikTok")</f>
        <v>1</v>
      </c>
      <c r="E9" s="3"/>
      <c r="F9" s="3"/>
      <c r="G9" s="2"/>
      <c r="H9" s="2"/>
    </row>
    <row r="10" spans="1:8" ht="24" customHeight="1" x14ac:dyDescent="0.2">
      <c r="A10" s="4" t="s">
        <v>350</v>
      </c>
      <c r="B10" s="4"/>
      <c r="C10" s="19">
        <f>COUNTIF(C20:C22,"الرياض")</f>
        <v>1</v>
      </c>
      <c r="E10" s="3" t="s">
        <v>351</v>
      </c>
      <c r="F10" s="3"/>
      <c r="G10" s="2">
        <v>4350</v>
      </c>
      <c r="H10" s="2"/>
    </row>
    <row r="11" spans="1:8" ht="24" customHeight="1" x14ac:dyDescent="0.2">
      <c r="A11" s="4" t="s">
        <v>352</v>
      </c>
      <c r="B11" s="4"/>
      <c r="C11" s="19">
        <f>COUNTIF(C20:C22,"جدة")</f>
        <v>2</v>
      </c>
      <c r="E11" s="3"/>
      <c r="F11" s="3"/>
      <c r="G11" s="2"/>
      <c r="H11" s="2"/>
    </row>
    <row r="12" spans="1:8" ht="24" customHeight="1" x14ac:dyDescent="0.2">
      <c r="A12" s="4" t="s">
        <v>353</v>
      </c>
      <c r="B12" s="4"/>
      <c r="C12" s="19">
        <f>COUNTIF(C20:C22,"غير محددة")</f>
        <v>0</v>
      </c>
      <c r="E12" s="3"/>
      <c r="F12" s="3"/>
      <c r="G12" s="2"/>
      <c r="H12" s="2"/>
    </row>
    <row r="13" spans="1:8" ht="24" customHeight="1" x14ac:dyDescent="0.2">
      <c r="A13" s="4" t="s">
        <v>354</v>
      </c>
      <c r="B13" s="4"/>
      <c r="C13" s="19">
        <f>SUM(F20:F22)</f>
        <v>1826900</v>
      </c>
    </row>
    <row r="14" spans="1:8" ht="24" customHeight="1" x14ac:dyDescent="0.2">
      <c r="A14" s="4" t="s">
        <v>355</v>
      </c>
      <c r="B14" s="4"/>
      <c r="C14" s="19">
        <f>IFERROR(AVERAGE(F20:F22),0)</f>
        <v>608966.66666666663</v>
      </c>
      <c r="E14" s="1" t="s">
        <v>356</v>
      </c>
      <c r="F14" s="1"/>
      <c r="G14" s="1"/>
      <c r="H14" s="1"/>
    </row>
    <row r="15" spans="1:8" ht="24" customHeight="1" x14ac:dyDescent="0.2">
      <c r="A15" s="4" t="s">
        <v>357</v>
      </c>
      <c r="B15" s="4"/>
      <c r="C15" s="19">
        <f>IFERROR(MIN(F20:F22),0)</f>
        <v>511000</v>
      </c>
    </row>
    <row r="16" spans="1:8" ht="24" customHeight="1" x14ac:dyDescent="0.2">
      <c r="A16" s="4" t="s">
        <v>358</v>
      </c>
      <c r="B16" s="4"/>
      <c r="C16" s="19">
        <f>IFERROR(MAX(F20:F22),0)</f>
        <v>697000</v>
      </c>
    </row>
    <row r="19" spans="1:8" ht="24" customHeight="1" x14ac:dyDescent="0.2">
      <c r="A19" s="8" t="s">
        <v>1</v>
      </c>
      <c r="B19" s="8" t="s">
        <v>2</v>
      </c>
      <c r="C19" s="8" t="s">
        <v>3</v>
      </c>
      <c r="D19" s="8" t="s">
        <v>4</v>
      </c>
      <c r="E19" s="8" t="s">
        <v>5</v>
      </c>
      <c r="F19" s="8" t="s">
        <v>6</v>
      </c>
      <c r="G19" s="8" t="s">
        <v>7</v>
      </c>
      <c r="H19" s="8" t="s">
        <v>8</v>
      </c>
    </row>
    <row r="20" spans="1:8" x14ac:dyDescent="0.2">
      <c r="A20" s="9">
        <v>1</v>
      </c>
      <c r="B20" s="10" t="s">
        <v>9</v>
      </c>
      <c r="C20" s="9" t="s">
        <v>10</v>
      </c>
      <c r="D20" s="11" t="s">
        <v>11</v>
      </c>
      <c r="E20" s="9" t="s">
        <v>12</v>
      </c>
      <c r="F20" s="12">
        <v>697000</v>
      </c>
      <c r="G20" s="9" t="s">
        <v>13</v>
      </c>
      <c r="H20" s="13"/>
    </row>
    <row r="21" spans="1:8" x14ac:dyDescent="0.2">
      <c r="A21" s="14">
        <v>2</v>
      </c>
      <c r="B21" s="15" t="s">
        <v>14</v>
      </c>
      <c r="C21" s="14" t="s">
        <v>24</v>
      </c>
      <c r="D21" s="16" t="s">
        <v>16</v>
      </c>
      <c r="E21" s="14" t="s">
        <v>17</v>
      </c>
      <c r="F21" s="17">
        <v>618900</v>
      </c>
      <c r="G21" s="14" t="s">
        <v>13</v>
      </c>
      <c r="H21" s="18"/>
    </row>
    <row r="22" spans="1:8" x14ac:dyDescent="0.2">
      <c r="A22" s="9">
        <v>3</v>
      </c>
      <c r="B22" s="10" t="s">
        <v>18</v>
      </c>
      <c r="C22" s="9" t="s">
        <v>10</v>
      </c>
      <c r="D22" s="11" t="s">
        <v>19</v>
      </c>
      <c r="E22" s="9" t="s">
        <v>12</v>
      </c>
      <c r="F22" s="12">
        <v>511000</v>
      </c>
      <c r="G22" s="9" t="s">
        <v>13</v>
      </c>
      <c r="H22" s="13"/>
    </row>
  </sheetData>
  <autoFilter ref="A19:H22" xr:uid="{00000000-0009-0000-0000-000004000000}"/>
  <mergeCells count="19">
    <mergeCell ref="A13:B13"/>
    <mergeCell ref="A14:B14"/>
    <mergeCell ref="E14:H14"/>
    <mergeCell ref="A15:B15"/>
    <mergeCell ref="A16:B16"/>
    <mergeCell ref="A10:B10"/>
    <mergeCell ref="E10:F12"/>
    <mergeCell ref="G10:H12"/>
    <mergeCell ref="A11:B11"/>
    <mergeCell ref="A12:B12"/>
    <mergeCell ref="A1:H1"/>
    <mergeCell ref="A3:H4"/>
    <mergeCell ref="A6:C6"/>
    <mergeCell ref="E6:H6"/>
    <mergeCell ref="A7:B7"/>
    <mergeCell ref="E7:F9"/>
    <mergeCell ref="G7:H9"/>
    <mergeCell ref="A8:B8"/>
    <mergeCell ref="A9:B9"/>
  </mergeCells>
  <hyperlinks>
    <hyperlink ref="D20" r:id="rId1" xr:uid="{00000000-0004-0000-0400-000000000000}"/>
    <hyperlink ref="D21" r:id="rId2" xr:uid="{00000000-0004-0000-0400-000001000000}"/>
    <hyperlink ref="D22" r:id="rId3" xr:uid="{00000000-0004-0000-0400-00000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المؤثرون</vt:lpstr>
      <vt:lpstr>Nano</vt:lpstr>
      <vt:lpstr>Micro</vt:lpstr>
      <vt:lpstr>Mid-Tier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 Six</cp:lastModifiedBy>
  <cp:revision>0</cp:revision>
  <dcterms:created xsi:type="dcterms:W3CDTF">2026-09-01T08:55:42Z</dcterms:created>
  <dcterms:modified xsi:type="dcterms:W3CDTF">2026-09-01T09:07:32Z</dcterms:modified>
  <dc:language>en-US</dc:language>
</cp:coreProperties>
</file>